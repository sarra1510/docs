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neoxam.sharepoint.com/Documents partages/Impress/QA Impress/Interne_Equipe_QA/nximpress_3.2.0/TNRs_320_Avril/"/>
    </mc:Choice>
  </mc:AlternateContent>
  <xr:revisionPtr revIDLastSave="1057" documentId="8_{DF8F9510-02D0-4C48-87EC-B305563CD8F9}" xr6:coauthVersionLast="47" xr6:coauthVersionMax="47" xr10:uidLastSave="{C44E2AF9-734A-4BE2-B61D-92C5022AFF52}"/>
  <bookViews>
    <workbookView xWindow="35715" yWindow="4005" windowWidth="6405" windowHeight="3225" firstSheet="9" activeTab="2" xr2:uid="{A780F013-C633-4DEC-A69D-3902F453C0F6}"/>
  </bookViews>
  <sheets>
    <sheet name="Infos" sheetId="5" r:id="rId1"/>
    <sheet name="Caceis_old" sheetId="1" r:id="rId2"/>
    <sheet name="Caceis-old_2" sheetId="11" r:id="rId3"/>
    <sheet name="Standalone_NewDump_old" sheetId="8" r:id="rId4"/>
    <sheet name="Umbrella_NewDump_old" sheetId="9" r:id="rId5"/>
    <sheet name="Opened_Defect_Caceis" sheetId="6" r:id="rId6"/>
    <sheet name="Caceis" sheetId="15" r:id="rId7"/>
    <sheet name="Liste des TNR_QA" sheetId="12" r:id="rId8"/>
    <sheet name="Standalone_NewDump1304" sheetId="13" r:id="rId9"/>
    <sheet name="Umbrella_NewDump1304" sheetId="14" r:id="rId10"/>
  </sheets>
  <definedNames>
    <definedName name="_xlnm._FilterDatabase" localSheetId="1" hidden="1">Caceis_old!$B$1:$S$52</definedName>
    <definedName name="_xlnm._FilterDatabase" localSheetId="5" hidden="1">#REF!</definedName>
    <definedName name="_xlnm._FilterDatabase" localSheetId="8" hidden="1">Standalone_NewDump1304!$A$1:$N$1</definedName>
    <definedName name="_xlnm._FilterDatabase" localSheetId="2" hidden="1">'Caceis-old_2'!$A$1:$V$40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5" l="1"/>
  <c r="J27" i="5"/>
  <c r="L27" i="5" s="1"/>
</calcChain>
</file>

<file path=xl/sharedStrings.xml><?xml version="1.0" encoding="utf-8"?>
<sst xmlns="http://schemas.openxmlformats.org/spreadsheetml/2006/main" count="5984" uniqueCount="1069">
  <si>
    <t xml:space="preserve">A commiter . validated </t>
  </si>
  <si>
    <t>Haithem</t>
  </si>
  <si>
    <t>package à installer manuellement</t>
  </si>
  <si>
    <t xml:space="preserve">A commiter dans la fiche IMPRESS-27576, A tester </t>
  </si>
  <si>
    <t>haithem</t>
  </si>
  <si>
    <t>run wlorkflow</t>
  </si>
  <si>
    <t>Commentaire</t>
  </si>
  <si>
    <t>rapports</t>
  </si>
  <si>
    <t xml:space="preserve">FR </t>
  </si>
  <si>
    <t>standalone : OK</t>
  </si>
  <si>
    <t>init : lenteur (&gt; 6 min)
calcul en cours</t>
  </si>
  <si>
    <t>Ecart en  cours d'analyse ( report doc : PE-PC23-AA)</t>
  </si>
  <si>
    <t xml:space="preserve">Lux : </t>
  </si>
  <si>
    <t>OK</t>
  </si>
  <si>
    <t>en cours</t>
  </si>
  <si>
    <t>swiss</t>
  </si>
  <si>
    <t>En cours</t>
  </si>
  <si>
    <t>N/A</t>
  </si>
  <si>
    <t>belges</t>
  </si>
  <si>
    <t xml:space="preserve">En cours </t>
  </si>
  <si>
    <t xml:space="preserve">A faire : </t>
  </si>
  <si>
    <t>technical error</t>
  </si>
  <si>
    <t>pour la conf GRPC, ajouter dans le local_conf :
DH_GRPC_MESSAGE_MAX_SIZE=536870912</t>
  </si>
  <si>
    <t xml:space="preserve">purge </t>
  </si>
  <si>
    <t>Modifier les config mémoire server serve2 à 8 dans .local_config</t>
  </si>
  <si>
    <t>refresh</t>
  </si>
  <si>
    <t>faire les modifs de la fiche 27763 (Catalina)</t>
  </si>
  <si>
    <t>Augmenter le heap client (ex : -Xmx2048m)</t>
  </si>
  <si>
    <t>http://nx-impress-caceis-tnrs320.bams.corp/impress/#/</t>
  </si>
  <si>
    <t>activer HDM de security multi source</t>
  </si>
  <si>
    <t>lancer le script de Ghada 27740</t>
  </si>
  <si>
    <t>Priority</t>
  </si>
  <si>
    <t>Key</t>
  </si>
  <si>
    <t>Issue Type</t>
  </si>
  <si>
    <t>Summary</t>
  </si>
  <si>
    <t>Regression</t>
  </si>
  <si>
    <t>Status</t>
  </si>
  <si>
    <t>Reporter</t>
  </si>
  <si>
    <t>Affects Version/s</t>
  </si>
  <si>
    <t>Assignee</t>
  </si>
  <si>
    <t>Fix Version/s</t>
  </si>
  <si>
    <t>Component/s</t>
  </si>
  <si>
    <t>Tester</t>
  </si>
  <si>
    <t>Labels</t>
  </si>
  <si>
    <t>Sub Feature</t>
  </si>
  <si>
    <t>Created</t>
  </si>
  <si>
    <t>Linked Issues</t>
  </si>
  <si>
    <t>Time Spent</t>
  </si>
  <si>
    <t>Sprint</t>
  </si>
  <si>
    <t xml:space="preserve">Non comité </t>
  </si>
  <si>
    <t>Blocker</t>
  </si>
  <si>
    <t>IMPRESS-27853</t>
  </si>
  <si>
    <t>Defect</t>
  </si>
  <si>
    <t>Generation failed pour LUX – erreur SQL sur template order</t>
  </si>
  <si>
    <t>Yes</t>
  </si>
  <si>
    <t>Test In Progress</t>
  </si>
  <si>
    <t>Imen Matoussi</t>
  </si>
  <si>
    <t>nximpress_3.1.2</t>
  </si>
  <si>
    <t>Haithem Hidri</t>
  </si>
  <si>
    <t>nximpress_3.2.0, nximpress_3.1.3</t>
  </si>
  <si>
    <t>Engine</t>
  </si>
  <si>
    <t>IMPRESS-27858</t>
  </si>
  <si>
    <t>KO: pas reproduis pr l'instant</t>
  </si>
  <si>
    <t>IMPRESS-27850</t>
  </si>
  <si>
    <t>Impossible de purger le rapport</t>
  </si>
  <si>
    <t>No</t>
  </si>
  <si>
    <t>Meriem Bouattour</t>
  </si>
  <si>
    <t>nximpress_3.2.0</t>
  </si>
  <si>
    <t>Malik Hassene</t>
  </si>
  <si>
    <t>SQUAD_IMPRESS_SUPPORT</t>
  </si>
  <si>
    <t>DHRD</t>
  </si>
  <si>
    <t>Critical</t>
  </si>
  <si>
    <t>IMPRESS-27842</t>
  </si>
  <si>
    <t>MARKET_CLASS_ID est modifiée apres le lancement de calcul</t>
  </si>
  <si>
    <t>Information Request</t>
  </si>
  <si>
    <t>DHRD-120654, IMPRESS-27815, IMPRESS-27814</t>
  </si>
  <si>
    <t>bloqué suite au purge / Abir
OK</t>
  </si>
  <si>
    <t>IMPRESS-27840</t>
  </si>
  <si>
    <t>Calcul Failed suite à l'activation du HDM (2)</t>
  </si>
  <si>
    <t>Customer pending</t>
  </si>
  <si>
    <t>nximpress_3.1.1, nximpress_3.2.0</t>
  </si>
  <si>
    <t>Maxime Freitas</t>
  </si>
  <si>
    <t>SQUAD_IMPRESS_SUPPORT, ToBeTested_QA</t>
  </si>
  <si>
    <t>DHRD-120589, IMPRESS-27844, IMPRESS-27825</t>
  </si>
  <si>
    <t xml:space="preserve">OK </t>
  </si>
  <si>
    <t>IMPRESS-27825</t>
  </si>
  <si>
    <t>Calcul Failed suite à l'activation du HDM</t>
  </si>
  <si>
    <t>DHRD-120502, IMPRESS-27835, IMPRESS-27840</t>
  </si>
  <si>
    <t>KO lié 27842</t>
  </si>
  <si>
    <t>Minor</t>
  </si>
  <si>
    <t>IMPRESS-27815</t>
  </si>
  <si>
    <t>[Caceis] Calculation discrepancies in the AR-CACEIS-CH-UMBRELLA report (Discrepancy 3)</t>
  </si>
  <si>
    <t>In Progress</t>
  </si>
  <si>
    <t>Abir Khabthani</t>
  </si>
  <si>
    <t xml:space="preserve">A tester : Abir + Rania </t>
  </si>
  <si>
    <t>IMPRESS-27801</t>
  </si>
  <si>
    <t>ACCT_CRITERIA_ID ne pointe pas sur la liste</t>
  </si>
  <si>
    <t>Closed</t>
  </si>
  <si>
    <t>DHRD-120304</t>
  </si>
  <si>
    <t>A cloturer suite à la finalisation des TNRs + comparaison rapports
: ecart templating + ecart de changement de label ( 27796</t>
  </si>
  <si>
    <t>Major</t>
  </si>
  <si>
    <t>IMPRESS-27795</t>
  </si>
  <si>
    <t>[Caceis] Calculation discrepancies in the Lux report</t>
  </si>
  <si>
    <t>Brice Bocquet</t>
  </si>
  <si>
    <t>SQUAD_IMPRESS_DATA_API</t>
  </si>
  <si>
    <t>IMPRESS-27778</t>
  </si>
  <si>
    <t>[Caceis] SQL failed for AR-CACEIS-CH-UMBRELLA</t>
  </si>
  <si>
    <t>IMPRESS-27739, IMPRESS-27750</t>
  </si>
  <si>
    <t xml:space="preserve">A retester : sur tnrs320
Imen Mess </t>
  </si>
  <si>
    <t>IMPRESS-27775</t>
  </si>
  <si>
    <t>Échec du workflow Belges– erreur "compute timeout"</t>
  </si>
  <si>
    <t>IMPRESS-27793, IMPRESS-27845</t>
  </si>
  <si>
    <t>IMPRESS-27762</t>
  </si>
  <si>
    <t>Calcul long se terminant par une erreur StackOverflow</t>
  </si>
  <si>
    <t>Kalthoum Arfaoui</t>
  </si>
  <si>
    <t>IMPRESS-27787</t>
  </si>
  <si>
    <t xml:space="preserve">Rihab </t>
  </si>
  <si>
    <t>IMPRESS-27760</t>
  </si>
  <si>
    <t>[CACEIS] DH Reports Documents screen freezes when searching a fund or saving</t>
  </si>
  <si>
    <t>Rihab Mansouri</t>
  </si>
  <si>
    <t>DH</t>
  </si>
  <si>
    <t>DHRD-120093, IMPRESS-27841</t>
  </si>
  <si>
    <t>IMPRESS-27755</t>
  </si>
  <si>
    <t>[Caceis] Technical error dans l'étape de calcul</t>
  </si>
  <si>
    <t>BizRules, Engine</t>
  </si>
  <si>
    <t>DHRD-120886</t>
  </si>
  <si>
    <t>IMPRESS-27747</t>
  </si>
  <si>
    <t>unable to deploy 09154-IMPRESS-27404-03_MANDATORY_CORE-MxClusterWorkerScheduling.pack</t>
  </si>
  <si>
    <t>Elhem Toukebri</t>
  </si>
  <si>
    <t>Lahcen Admane</t>
  </si>
  <si>
    <t>IMPRESS-27740</t>
  </si>
  <si>
    <t>[Caceis] Anomalie au niveau des contributions</t>
  </si>
  <si>
    <t>Ghada Boughalmi</t>
  </si>
  <si>
    <t>IMPRESS-27848</t>
  </si>
  <si>
    <t>Non testable</t>
  </si>
  <si>
    <t>Medium</t>
  </si>
  <si>
    <t>IMPRESS-27734</t>
  </si>
  <si>
    <t>Bug</t>
  </si>
  <si>
    <t>Helm chart issue with DH port redirection and IDP url</t>
  </si>
  <si>
    <t>nximpress_3.1.0</t>
  </si>
  <si>
    <t>nximpress_3.2.0, nximpress_3.1.2, nximpress_3.1.3</t>
  </si>
  <si>
    <t>Cloud</t>
  </si>
  <si>
    <t>SQUAD_IMPRESS_WORKFLOW, squad_impress_workflow</t>
  </si>
  <si>
    <t>TSS-49293</t>
  </si>
  <si>
    <t>Workflow - 2026-03-w3/4</t>
  </si>
  <si>
    <t>Rania : attente validation jdd avec ghada</t>
  </si>
  <si>
    <t>IMPRESS-27716</t>
  </si>
  <si>
    <t>Story</t>
  </si>
  <si>
    <t>Fix “getCodeOf” calls with a third internal argument</t>
  </si>
  <si>
    <t>Sarra Dhaha</t>
  </si>
  <si>
    <t>IMPRESS-17604</t>
  </si>
  <si>
    <t>OK  A valider dernier point avec lahcen</t>
  </si>
  <si>
    <t xml:space="preserve">  </t>
  </si>
  <si>
    <t>Fix existing report aliases</t>
  </si>
  <si>
    <t>nximpress_3.2.0, nximpress_3.1.2</t>
  </si>
  <si>
    <t>ImpressCore</t>
  </si>
  <si>
    <t>Not a bug</t>
  </si>
  <si>
    <t>u(itt(au fc,</t>
  </si>
  <si>
    <t>IMPRESS-27688</t>
  </si>
  <si>
    <t>Suite IMPRESS-27670 - Recherche des scopes impactés</t>
  </si>
  <si>
    <t>nximpress_3.1.1</t>
  </si>
  <si>
    <t>IMPRESS-27670</t>
  </si>
  <si>
    <t>SQUAD-SUPPORT-TECH-SPRINT 13, SQUAD-SUPPORT-TECH-SPRINT 14</t>
  </si>
  <si>
    <t>aw</t>
  </si>
  <si>
    <t>w</t>
  </si>
  <si>
    <t>Sarra</t>
  </si>
  <si>
    <t>IMPRESS-27682</t>
  </si>
  <si>
    <t>Package Legal à corriger en ECDF</t>
  </si>
  <si>
    <t>27/Feb/2026 12:17</t>
  </si>
  <si>
    <t>IMPRESS-27694</t>
  </si>
  <si>
    <t>SQUAD-SUPPORT-FONCT-SPRINT 13</t>
  </si>
  <si>
    <t>IMPRESS-27680</t>
  </si>
  <si>
    <t>Regression LOAD_CONTRIBUTION IMPRESS-25081/IMPRESS-26511</t>
  </si>
  <si>
    <t>nximpress_2.1.21</t>
  </si>
  <si>
    <t>BizRules</t>
  </si>
  <si>
    <t>27/Feb/2026 09:57</t>
  </si>
  <si>
    <t>IMPRESS-26511</t>
  </si>
  <si>
    <t>SQUAD-SUPPORT-FONCT-SPRINT 13, SQUAD-SUPPORT-FONCT-SPRINT 14</t>
  </si>
  <si>
    <t>A voir suite aux tests en cours</t>
  </si>
  <si>
    <t>[Caceis] Calcul failed for FR_PC23_AR</t>
  </si>
  <si>
    <t>26/Feb/2026 11:44</t>
  </si>
  <si>
    <t>IMPRESS-27684, IMPRESS-27288, IMPRESS-27688</t>
  </si>
  <si>
    <t>Imen / Rihab: OK</t>
  </si>
  <si>
    <t>IMPRESS-27657</t>
  </si>
  <si>
    <t>Impossible de générer un audit report</t>
  </si>
  <si>
    <t>25/Feb/2026 13:15</t>
  </si>
  <si>
    <t>Cette fiche est à clôturer si les TNRs belges , swiss et lux passent sans soucis. </t>
  </si>
  <si>
    <t>IMPRESS-27648</t>
  </si>
  <si>
    <t>Calculation errors // in the environment</t>
  </si>
  <si>
    <t>24/Feb/2026 10:53</t>
  </si>
  <si>
    <t>IMPRESS-27412, IMPRESS-27780, DHRD-119482, IMPRESS-27738</t>
  </si>
  <si>
    <t>Rania/  Test ko</t>
  </si>
  <si>
    <t>IMPRESS-27645</t>
  </si>
  <si>
    <t>Problème lors de la sauvegarde de la valeur "Company Size" – Debug info : Balisage Impress FundProduct</t>
  </si>
  <si>
    <t>Rania Toukebri</t>
  </si>
  <si>
    <t>SQUAD_IMPRESS_SUPPORT, raised_by_QA</t>
  </si>
  <si>
    <t>24/Feb/2026 08:51</t>
  </si>
  <si>
    <t>IMPRESS-26248, IMPRESS-27658</t>
  </si>
  <si>
    <t>IMPRESS-27600</t>
  </si>
  <si>
    <t>[Impress] Testing 3.2.0 CACEIS - Mauvais calcul des repPPDate/cptPPDate avec le COMPUTE_PARAM_AND_REPORT custom de Caceis</t>
  </si>
  <si>
    <t>Charles Fénières</t>
  </si>
  <si>
    <t>13/Feb/2026 09:32</t>
  </si>
  <si>
    <t>NXIMPRE-591</t>
  </si>
  <si>
    <t>Abir: A voir avc Brice</t>
  </si>
  <si>
    <t>IMPRESS-27593</t>
  </si>
  <si>
    <t>Report definition without frequency in production</t>
  </si>
  <si>
    <t>Olivier Laurent</t>
  </si>
  <si>
    <t>Unassigned</t>
  </si>
  <si>
    <t>Legal</t>
  </si>
  <si>
    <t>12/Feb/2026 10:49</t>
  </si>
  <si>
    <t>NXIMPRE-606</t>
  </si>
  <si>
    <t>IMPRESS-27583</t>
  </si>
  <si>
    <t>Erreur lors de l'application d'un package</t>
  </si>
  <si>
    <t>10/Feb/2026 16:43</t>
  </si>
  <si>
    <t>SQUAD-SUPPOR-TECH-SPRINT 12, SQUAD-SUPPORT-TECH-SPRINT 13</t>
  </si>
  <si>
    <t>Imen</t>
  </si>
  <si>
    <t>IMPRESS-27512</t>
  </si>
  <si>
    <t>ECDF Reporting: Umbrella Calculation Issue – Missing Compartment Amounts in ECDF umbrella report</t>
  </si>
  <si>
    <t>ECDF, SQUAD_IMPRESS_SUPPORT, analytic, eCDF</t>
  </si>
  <si>
    <t>02/Feb/2026 17:01</t>
  </si>
  <si>
    <t>IMPRESS-27599</t>
  </si>
  <si>
    <t>SQUAD-SUPPOR-FONCT-SPRINT 12, SQUAD-SUPPORT-FONCT-SPRINT 13</t>
  </si>
  <si>
    <t>ABIR</t>
  </si>
  <si>
    <t>IMPRESS-27430</t>
  </si>
  <si>
    <t>IDRE-5230 - Génération d'un AR/SAR Suisse ne contenant pas tous les compartiments du RA FR</t>
  </si>
  <si>
    <t>NXIMPRE-546</t>
  </si>
  <si>
    <t>IMPRESS-27404</t>
  </si>
  <si>
    <t>Implementation of a multi-scheduler solution</t>
  </si>
  <si>
    <t>Laurent Gauthier</t>
  </si>
  <si>
    <t>BizRules, ImpressCore</t>
  </si>
  <si>
    <t>SQUAD_IMPRESS_WORKFLOW</t>
  </si>
  <si>
    <t>DHRD-118120</t>
  </si>
  <si>
    <t>Workflow - 2026-01, Workflow - 2026-02-w1/2, Workflow - 2026-02-w1/3, Workflow - 2026-03-w1/2, Workflow - 2026-03-w3/4, Workflow - 2026-04-w1/2</t>
  </si>
  <si>
    <t>IMPRESS-27333</t>
  </si>
  <si>
    <t>MERGER - Optimization for big final document</t>
  </si>
  <si>
    <t>ReportingService</t>
  </si>
  <si>
    <t>squad_impress_workflow</t>
  </si>
  <si>
    <t>IMPRESS-27065, NXIMPRE-444</t>
  </si>
  <si>
    <t>Workflow - 2025-01 - stab</t>
  </si>
  <si>
    <t>Rania</t>
  </si>
  <si>
    <t>IMPRESS-27288</t>
  </si>
  <si>
    <t>Compute failed: report data service error</t>
  </si>
  <si>
    <t>RAISEDBY_QA, ToBeTested_QA</t>
  </si>
  <si>
    <t>29/Dec/2025 10:29</t>
  </si>
  <si>
    <t>IMPRESS-27690, IMPRESS-27477, IMPRESS-27265, IMPRESS-27264, IMPRESS-27670</t>
  </si>
  <si>
    <t>SQUAD-SUPPOR-TECH-SPRINT 11</t>
  </si>
  <si>
    <t>imen:OK</t>
  </si>
  <si>
    <t>IMPRESS-27262</t>
  </si>
  <si>
    <t>[Caceis] Chargement KO du fichier d'audite</t>
  </si>
  <si>
    <t>Imen Messaoudi</t>
  </si>
  <si>
    <t>18/Dec/2025 10:52</t>
  </si>
  <si>
    <t>IMPRESS-27272</t>
  </si>
  <si>
    <t>SQUAD-SUPPORT-TECH-SPRINT 8, SQUAD-SUPPORT-Tech-SPRINT 9, SQUAD-SUPPOR-TECH-SPRINT 10, SQUAD-SUPPOR-TECH-SPRINT 12</t>
  </si>
  <si>
    <t>IMPRESS-27259</t>
  </si>
  <si>
    <t>[Impress] Incorrect parameter retrieval</t>
  </si>
  <si>
    <t>Caceis_candidate_3.1.1, SQUAD_IMPRESS_DATA_API</t>
  </si>
  <si>
    <t>17/Dec/2025 15:19</t>
  </si>
  <si>
    <t>NXIMPRE-510</t>
  </si>
  <si>
    <t>Rania/ ajout fichier sql de la part de kalthoum
ajout de comm dans la fiche</t>
  </si>
  <si>
    <t>IMPRESS-27251</t>
  </si>
  <si>
    <t>Add an index to the REPORTDATA_FIELD table on the REPORTDATA_ID and F_VALUE columns</t>
  </si>
  <si>
    <t>Mathieu Le Henaff</t>
  </si>
  <si>
    <t>ABOR</t>
  </si>
  <si>
    <t>Caceis_candidate_3.1.1, SQUAD_IMPRESS_SUPPORT</t>
  </si>
  <si>
    <t>17/Dec/2025 09:49</t>
  </si>
  <si>
    <t>NXIMPRE-509</t>
  </si>
  <si>
    <t xml:space="preserve">Messaoudi </t>
  </si>
  <si>
    <t>IMPRESS-27250</t>
  </si>
  <si>
    <t>Optimizing scopes for access to REPORTDATA_VALUE_HISTO.VH_PATH like.</t>
  </si>
  <si>
    <t>17/Dec/2025 09:47</t>
  </si>
  <si>
    <t>NXIMPRE-508</t>
  </si>
  <si>
    <t>SQUAD-SUPPOR-TECH-SPRINT 11, SQUAD-SUPPOR-TECH-SPRINT 12, SQUAD-SUPPORT-TECH-SPRINT 13, SQUAD-SUPPORT-TECH-SPRINT 14</t>
  </si>
  <si>
    <t>Abir: 27890 bloque le test</t>
  </si>
  <si>
    <t>IMPRESS-27230</t>
  </si>
  <si>
    <t>FR - IMPRESS: NIMI and Subsidiaries Templating - Issue with title repetition in posts</t>
  </si>
  <si>
    <t>Emna Chelly</t>
  </si>
  <si>
    <t>Caceis_candidate_3.1.1, SQUAD_IMPRESS_SUPPORT, squad_impress_workflow</t>
  </si>
  <si>
    <t>12/Dec/2025 16:15</t>
  </si>
  <si>
    <t>IMPRESS-27666, NXIMPRE-469</t>
  </si>
  <si>
    <t>Workflow - 2026-01, Workflow - 2026-02-w1/2</t>
  </si>
  <si>
    <t>IMPRESS-27181</t>
  </si>
  <si>
    <t>Error log in production</t>
  </si>
  <si>
    <t>05/Dec/2025 10:37</t>
  </si>
  <si>
    <t>DHRD-117935, NXIMPRE-466</t>
  </si>
  <si>
    <t>SQUAD-SUPPOR-TECH-SPRINT 11, SQUAD-SUPPOR-TECH-SPRINT 12, SQUAD-SUPPORT-TECH-SPRINT 13</t>
  </si>
  <si>
    <t>Imen: in progress</t>
  </si>
  <si>
    <t>IMPRESS-27081</t>
  </si>
  <si>
    <t>Upgrade Impress keycloack to 26.5.3</t>
  </si>
  <si>
    <t>Chakib Benkebir</t>
  </si>
  <si>
    <t>SQUAD-SUPPOR-TECH-SPRINT 12</t>
  </si>
  <si>
    <t>IMPRESS-27065</t>
  </si>
  <si>
    <t>BEL: DPAM B Report generation error - generation time too long (9 hours)</t>
  </si>
  <si>
    <t>nximpress_2.1.20.4</t>
  </si>
  <si>
    <t>IMPRESS-27843, NXIMPRE-444, IMPRESS-27333</t>
  </si>
  <si>
    <t>SQUAD-SUPPORT-Techni-SPRINT 6, SQUAD-SUPPORT-Techni-SPRINT 7, SQUAD-SUPPORT-TECH-SPRINT 8, SQUAD-SUPPORT-Tech-SPRINT 9</t>
  </si>
  <si>
    <t>IMPRESS-26884</t>
  </si>
  <si>
    <t>Erreur dans le log webservices – Champ inconnu XSD_MODEL</t>
  </si>
  <si>
    <t>nximpress_3.0.0</t>
  </si>
  <si>
    <t>IMPRESS-26003</t>
  </si>
  <si>
    <t>Imen: OK</t>
  </si>
  <si>
    <t>IMPRESS-26841</t>
  </si>
  <si>
    <t>Set the client logs path by parameter</t>
  </si>
  <si>
    <t>DHRD-109178</t>
  </si>
  <si>
    <t>SQUAD-SUPPORT-TECH-SPRINT 8</t>
  </si>
  <si>
    <t>Imen OK</t>
  </si>
  <si>
    <t>IMPRESS-26720</t>
  </si>
  <si>
    <t>[REGRESSION] Front End - Job Title Filter - A new row appears without a job title</t>
  </si>
  <si>
    <t>CACEIS_REGRESSION, Caceis_candidate_3.1.1, SQUAD_IMPRESS_SUPPORT</t>
  </si>
  <si>
    <t>IMPRESS-27647, NXIMPRE-481</t>
  </si>
  <si>
    <t>IMPRESS-26711</t>
  </si>
  <si>
    <t>[Impress] Management start date - BCFY dates versus Umbrella DQC</t>
  </si>
  <si>
    <t>Caceis_candidate_3.1.1, SQUAD_IMPRESS_ANALYTICS</t>
  </si>
  <si>
    <t>IMPRESS-27772, NXIMPRE-522, NXIMPRE-480</t>
  </si>
  <si>
    <t>IMPRESS-26660</t>
  </si>
  <si>
    <t>eCDF - DQCs Postcompute eCDF</t>
  </si>
  <si>
    <t>IMPRESS-27687, IMPRESS-26543</t>
  </si>
  <si>
    <t>TEMPLATING - 2025-10 - W1/2, TEMPLATING - 2025-10 - RELEASE, SQUAD-SUPPOR-FONCT-SPRINT 12, SQUAD-SUPPORT-FONCT-SPRINT 13</t>
  </si>
  <si>
    <t>IMPRESS-26566</t>
  </si>
  <si>
    <t>LUX - Break text umbrella after contribution</t>
  </si>
  <si>
    <t>Khadija Jerbi</t>
  </si>
  <si>
    <t>Templating_Jasper</t>
  </si>
  <si>
    <t>IMPRESS-26910, IMPRESS-26937, IMPRESS-27849, NXIMPRE-368, NXIMPRE-375, IMPRESS-26879</t>
  </si>
  <si>
    <t>Sprint 2- SQUAD SUPPORT Foncti, SQUAD-SUPPORT-Foncti-SPRINT3, SQUAD-SUPPORT-Foncti-SPRINT4, SQUAD-SUPPORT-FONCT-SPRINT 13</t>
  </si>
  <si>
    <t>locked by error time out 504</t>
  </si>
  <si>
    <t>Rania:  test ok + attente reponse des consultants</t>
  </si>
  <si>
    <t>[Impress] Contributions vs Change of Management Company</t>
  </si>
  <si>
    <t>IMPRESS-27680, IMPRESS-27469, NXIMPRE-478</t>
  </si>
  <si>
    <t>SQUAD-SUPPOR-FONCT-SPRINT 11, SQUAD-SUPPOR-FONCT-SPRINT 12, SQUAD-SUPPORT-FONCT-SPRINT 13, SQUAD-SUPPORT-FONCT-SPRINT 14</t>
  </si>
  <si>
    <t>Imen: Not testable</t>
  </si>
  <si>
    <t>IMPRESS-21729</t>
  </si>
  <si>
    <t>DATASET Archiving Error</t>
  </si>
  <si>
    <t>nximpress_2.1.12.6</t>
  </si>
  <si>
    <t>CACEIS_3.1.0_REMOVED, CACEIS_SCOPE_3.1.0_BEST_EFFORT, CACEIS_SCOPE_3.1.1, OPTIONAL, SP_6, SQUAD_IMPRESS_SUPPORT, categorized</t>
  </si>
  <si>
    <t>DHRD-114747, IMPRESS-25506</t>
  </si>
  <si>
    <t>Sprint 5 Engine, Sprint 6 Engine, Sprint 7 Engine, Sprint 8 Engine, Sprint 9 Engine, SQUAD-SUPPORT-Techni-SPRINT 6, SQUAD-SUPPORT-Techni-SPRINT 7, SQUAD-SUPPORT-TECH-SPRINT 8, SQUAD-SUPPORT-Tech-SPRINT 9, SQUAD-SUPPOR-TECH-SPRINT 10</t>
  </si>
  <si>
    <t>IMPRESS-19628</t>
  </si>
  <si>
    <t>Style definition for Advanced Cover - Font Name not supported</t>
  </si>
  <si>
    <t>Hedi Khalifa</t>
  </si>
  <si>
    <t>nximpress_2.1.12.3</t>
  </si>
  <si>
    <t>Gwénaëlle Montanos</t>
  </si>
  <si>
    <t>Caceis_candidate_3.1.1, SQUAD_IMPRESS_TEMPLATING</t>
  </si>
  <si>
    <t>30/May/2024 19:07</t>
  </si>
  <si>
    <t>IMPRESS-27139, NXIMPRE-376</t>
  </si>
  <si>
    <t>TEMPLATING-2026-01-Part 2, TEMPLATING-2026-02-Part 1, TEMPLATING-2026-02-Part 2</t>
  </si>
  <si>
    <t xml:space="preserve">Generated at Thu Apr 02 12:23:09 CEST 2026 by Elhem Toukebri using Jira 7.13.0#713000-sha1:fbf406879436de2f3fb1cfa09c7fa556fb79615a. </t>
  </si>
  <si>
    <t> </t>
  </si>
  <si>
    <t>Sub-Tasks</t>
  </si>
  <si>
    <t>Client</t>
  </si>
  <si>
    <t>Client Code</t>
  </si>
  <si>
    <t>IMPRESS-27893</t>
  </si>
  <si>
    <t>[Caceis] Sync error for report doc FR-PC23-SFTR-ESMA-MVT</t>
  </si>
  <si>
    <t>06/Apr/2026 17:16</t>
  </si>
  <si>
    <t> IME</t>
  </si>
  <si>
    <t xml:space="preserve">Correction List  effectué  </t>
  </si>
  <si>
    <t>A fermer en fin de TNRS</t>
  </si>
  <si>
    <t>TSS-48798</t>
  </si>
  <si>
    <t>Imen Mess( 3 fiches linked)</t>
  </si>
  <si>
    <t>Imen Mess</t>
  </si>
  <si>
    <t>Imen mess: test à refaire</t>
  </si>
  <si>
    <t>IMPRESS-27796</t>
  </si>
  <si>
    <t>[Caceis] Calculation discrepancies in the AR-CACEIS-CH-UMBRELLA report (Discrepancy 1)</t>
  </si>
  <si>
    <t xml:space="preserve"> HDM Exchange activer</t>
  </si>
  <si>
    <t xml:space="preserve">Abir </t>
  </si>
  <si>
    <t>IMPRESS-27792</t>
  </si>
  <si>
    <t>[Caceis] The apostrophe is no longer displayed in the instrument label</t>
  </si>
  <si>
    <t>KO</t>
  </si>
  <si>
    <t>IMPRESS-27763</t>
  </si>
  <si>
    <t>Erreur 504 et plantage VM lors du lancement de compartiments belges</t>
  </si>
  <si>
    <t>IMPRESS-27865</t>
  </si>
  <si>
    <t>SI test OK , on cloture</t>
  </si>
  <si>
    <t>Rihab</t>
  </si>
  <si>
    <t>IMPRESS-27743</t>
  </si>
  <si>
    <t>[CACEIS] Error during report generation – ORDER_COMPUTE_TEXT failure for AR-STRUCT-INVEST-LU-UMBRELLA</t>
  </si>
  <si>
    <t>BR</t>
  </si>
  <si>
    <t>IMPRESS-27715</t>
  </si>
  <si>
    <t>IMPRESS-26511, IMPRESS-27886</t>
  </si>
  <si>
    <t>dev</t>
  </si>
  <si>
    <t>Imen mess: paramétrage ECDF ok : A tester</t>
  </si>
  <si>
    <t>IMPRESS-27895, NXIMPRE-546</t>
  </si>
  <si>
    <t>Imen Mat: nécessiste conf spécifique pour caceis</t>
  </si>
  <si>
    <t>Rihab: contrib à voir avec MHE</t>
  </si>
  <si>
    <t>Done</t>
  </si>
  <si>
    <t>Rania/ ajout fichier sql de la part de kalthoum</t>
  </si>
  <si>
    <t>ajout de comm dans la fiche</t>
  </si>
  <si>
    <t>Liée a la fiche mere  IMPRESS_27333</t>
  </si>
  <si>
    <t>Imen: package à commiter</t>
  </si>
  <si>
    <t xml:space="preserve">Rihab( 504 timeout) réponse GMO: 
ug lié à la fiche IMPRESS-27849. ce n'est pas encore developpé, le reste a été fait sur les templates du client
</t>
  </si>
  <si>
    <t>Rania: TEST OK</t>
  </si>
  <si>
    <t>IMPRESS-27680, IMPRESS-27899, IMPRESS-27469, NXIMPRE-478</t>
  </si>
  <si>
    <t>c'est du specific Caceis</t>
  </si>
  <si>
    <t>IMPRESS-27638</t>
  </si>
  <si>
    <t xml:space="preserve">Generated at Fri Apr 10 11:15:18 CEST 2026 by Elhem Toukebri using Jira 7.13.0#713000-sha1:fbf406879436de2f3fb1cfa09c7fa556fb79615a. </t>
  </si>
  <si>
    <t>Métier </t>
  </si>
  <si>
    <t>Fund </t>
  </si>
  <si>
    <t>Report Date </t>
  </si>
  <si>
    <t>Report Type </t>
  </si>
  <si>
    <t>Templating Style </t>
  </si>
  <si>
    <t>Statut workflow</t>
  </si>
  <si>
    <t>Statut validation Rapport</t>
  </si>
  <si>
    <t>Commentaires</t>
  </si>
  <si>
    <t>Environnement de test</t>
  </si>
  <si>
    <t>FR </t>
  </si>
  <si>
    <r>
      <rPr>
        <sz val="12"/>
        <color rgb="FF172B4D"/>
        <rFont val="Segoe UI"/>
      </rPr>
      <t>001067</t>
    </r>
    <r>
      <rPr>
        <sz val="12"/>
        <color rgb="FF22211F"/>
        <rFont val="Calibri"/>
      </rPr>
      <t> </t>
    </r>
  </si>
  <si>
    <r>
      <rPr>
        <sz val="12"/>
        <color rgb="FF172B4D"/>
        <rFont val="Segoe UI"/>
      </rPr>
      <t>30/06/2024  </t>
    </r>
    <r>
      <rPr>
        <sz val="12"/>
        <color rgb="FF000000"/>
        <rFont val="Calibri"/>
      </rPr>
      <t>  (28-06-2024)</t>
    </r>
  </si>
  <si>
    <t>FR-PC23-SAR  </t>
  </si>
  <si>
    <t> Style nimi-rs </t>
  </si>
  <si>
    <r>
      <t>31/12/2024 </t>
    </r>
    <r>
      <rPr>
        <sz val="12"/>
        <color rgb="FF000000"/>
        <rFont val="Calibri"/>
        <charset val="1"/>
      </rPr>
      <t> </t>
    </r>
  </si>
  <si>
    <t>FR-PC23-AR </t>
  </si>
  <si>
    <t> Style nimi </t>
  </si>
  <si>
    <t>tnr2</t>
  </si>
  <si>
    <r>
      <t>008003</t>
    </r>
    <r>
      <rPr>
        <sz val="12"/>
        <color rgb="FF000000"/>
        <rFont val="Calibri"/>
        <charset val="1"/>
      </rPr>
      <t> </t>
    </r>
  </si>
  <si>
    <r>
      <t>30/06/2024 </t>
    </r>
    <r>
      <rPr>
        <sz val="12"/>
        <color rgb="FF000000"/>
        <rFont val="Calibri"/>
        <charset val="1"/>
      </rPr>
      <t> </t>
    </r>
  </si>
  <si>
    <t>FR-PC23-SAR </t>
  </si>
  <si>
    <t> Style Carmignac-rs </t>
  </si>
  <si>
    <r>
      <t>31/12/2024</t>
    </r>
    <r>
      <rPr>
        <sz val="12"/>
        <color rgb="FF000000"/>
        <rFont val="Calibri"/>
        <charset val="1"/>
      </rPr>
      <t> </t>
    </r>
  </si>
  <si>
    <t> Style Carmignac </t>
  </si>
  <si>
    <t>11842</t>
  </si>
  <si>
    <r>
      <t>30/06/2024</t>
    </r>
    <r>
      <rPr>
        <b/>
        <sz val="12"/>
        <color rgb="FF000000"/>
        <rFont val="Segoe UI"/>
      </rPr>
      <t> </t>
    </r>
  </si>
  <si>
    <t> Style HSBC-rs </t>
  </si>
  <si>
    <t> Style HSBC </t>
  </si>
  <si>
    <r>
      <rPr>
        <sz val="12"/>
        <color rgb="FF172B4D"/>
        <rFont val="Segoe UI"/>
      </rPr>
      <t>050666</t>
    </r>
    <r>
      <rPr>
        <sz val="12"/>
        <color rgb="FF000000"/>
        <rFont val="Calibri"/>
      </rPr>
      <t> </t>
    </r>
  </si>
  <si>
    <t>FR-PC23-AR  </t>
  </si>
  <si>
    <t> Style amundi </t>
  </si>
  <si>
    <t>Elhem/Rihab</t>
  </si>
  <si>
    <t xml:space="preserve">30/06/2024   </t>
  </si>
  <si>
    <r>
      <rPr>
        <sz val="12"/>
        <color rgb="FF172B4D"/>
        <rFont val="Segoe UI"/>
      </rPr>
      <t>106154</t>
    </r>
    <r>
      <rPr>
        <sz val="12"/>
        <color rgb="FF000000"/>
        <rFont val="Calibri"/>
      </rPr>
      <t> </t>
    </r>
  </si>
  <si>
    <r>
      <t>30/06/2024  </t>
    </r>
    <r>
      <rPr>
        <sz val="12"/>
        <color rgb="FF000000"/>
        <rFont val="Calibri"/>
        <charset val="1"/>
      </rPr>
      <t> </t>
    </r>
  </si>
  <si>
    <t> Style Caceis-pc-rs </t>
  </si>
  <si>
    <t>IME</t>
  </si>
  <si>
    <t> Style Caceis-pc </t>
  </si>
  <si>
    <t>Elhem</t>
  </si>
  <si>
    <r>
      <t>289003</t>
    </r>
    <r>
      <rPr>
        <sz val="12"/>
        <color rgb="FF000000"/>
        <rFont val="Calibri"/>
        <charset val="1"/>
      </rPr>
      <t> </t>
    </r>
  </si>
  <si>
    <t> Style Caceis-fes-rs </t>
  </si>
  <si>
    <t> Style Caceis-fes  </t>
  </si>
  <si>
    <r>
      <rPr>
        <sz val="12"/>
        <color rgb="FF000000"/>
        <rFont val="Calibri"/>
      </rPr>
      <t>489039 </t>
    </r>
  </si>
  <si>
    <r>
      <t>28/06/2024</t>
    </r>
    <r>
      <rPr>
        <sz val="12"/>
        <color rgb="FF000000"/>
        <rFont val="Calibri"/>
        <charset val="1"/>
      </rPr>
      <t> </t>
    </r>
  </si>
  <si>
    <t>Style Edram-rs </t>
  </si>
  <si>
    <t>850030 </t>
  </si>
  <si>
    <t> Style Edram-rs </t>
  </si>
  <si>
    <t>ERROR    compute failed</t>
  </si>
  <si>
    <t>Style Edram </t>
  </si>
  <si>
    <r>
      <rPr>
        <sz val="12"/>
        <color rgb="FF000000"/>
        <rFont val="Calibri"/>
      </rPr>
      <t>000AAE </t>
    </r>
  </si>
  <si>
    <r>
      <t>31/12/2024</t>
    </r>
    <r>
      <rPr>
        <sz val="12"/>
        <rFont val="Calibri"/>
        <charset val="1"/>
      </rPr>
      <t> </t>
    </r>
  </si>
  <si>
    <t>FR-PC23-AA </t>
  </si>
  <si>
    <t>Style Caceis </t>
  </si>
  <si>
    <t>FR-PC23-SFTR-ESMA-MVT </t>
  </si>
  <si>
    <t>Style caceis </t>
  </si>
  <si>
    <t>souci synchro</t>
  </si>
  <si>
    <t>Style caceis-pc </t>
  </si>
  <si>
    <t>génération KO: compute template order failed</t>
  </si>
  <si>
    <t>FR-PC23-AS </t>
  </si>
  <si>
    <t>SBDF-NPC23-FR-V1 </t>
  </si>
  <si>
    <t>OGC-FR </t>
  </si>
  <si>
    <t>001068 </t>
  </si>
  <si>
    <t>post-compute DQC failed</t>
  </si>
  <si>
    <t>Style nimi </t>
  </si>
  <si>
    <t>000EO6 </t>
  </si>
  <si>
    <t>FR-PC23-IA </t>
  </si>
  <si>
    <t>008027 </t>
  </si>
  <si>
    <t>FR-PC23-ID </t>
  </si>
  <si>
    <r>
      <rPr>
        <sz val="12"/>
        <color rgb="FF172B4D"/>
        <rFont val="Segoe UI"/>
      </rPr>
      <t>070067</t>
    </r>
    <r>
      <rPr>
        <sz val="12"/>
        <color rgb="FF000000"/>
        <rFont val="Calibri"/>
      </rPr>
      <t> </t>
    </r>
  </si>
  <si>
    <r>
      <rPr>
        <sz val="12"/>
        <color rgb="FF172B4D"/>
        <rFont val="Segoe UI"/>
      </rPr>
      <t>31/12/2024</t>
    </r>
    <r>
      <rPr>
        <sz val="12"/>
        <color rgb="FF000000"/>
        <rFont val="Calibri"/>
      </rPr>
      <t> </t>
    </r>
  </si>
  <si>
    <t>FR-PC23-SR-FES </t>
  </si>
  <si>
    <t>Style amundi </t>
  </si>
  <si>
    <t>missing report auditor validation IMPRESS-27913</t>
  </si>
  <si>
    <r>
      <t>000OCR</t>
    </r>
    <r>
      <rPr>
        <sz val="12"/>
        <color rgb="FF000000"/>
        <rFont val="Calibri"/>
        <charset val="1"/>
      </rPr>
      <t> </t>
    </r>
  </si>
  <si>
    <t>Style new-ostrum-rs </t>
  </si>
  <si>
    <r>
      <t>31/12/2024</t>
    </r>
    <r>
      <rPr>
        <sz val="12"/>
        <color rgb="FF22211F"/>
        <rFont val="Calibri"/>
        <charset val="1"/>
      </rPr>
      <t> </t>
    </r>
    <r>
      <rPr>
        <b/>
        <sz val="12"/>
        <color rgb="FF000000"/>
        <rFont val="Calibri"/>
        <charset val="1"/>
      </rPr>
      <t> </t>
    </r>
    <r>
      <rPr>
        <sz val="12"/>
        <color rgb="FF000000"/>
        <rFont val="Calibri"/>
        <charset val="1"/>
      </rPr>
      <t> </t>
    </r>
  </si>
  <si>
    <t>Style new-ostrum </t>
  </si>
  <si>
    <r>
      <rPr>
        <sz val="12"/>
        <color rgb="FF000000"/>
        <rFont val="Calibri"/>
      </rPr>
      <t>O50666 </t>
    </r>
  </si>
  <si>
    <t>Style amundi-rs </t>
  </si>
  <si>
    <t>LUX </t>
  </si>
  <si>
    <r>
      <rPr>
        <sz val="12"/>
        <color rgb="FF172B4D"/>
        <rFont val="Segoe UI"/>
      </rPr>
      <t>54563</t>
    </r>
    <r>
      <rPr>
        <sz val="12"/>
        <color rgb="FF000000"/>
        <rFont val="Calibri"/>
      </rPr>
      <t> </t>
    </r>
  </si>
  <si>
    <r>
      <t>30/06/2025</t>
    </r>
    <r>
      <rPr>
        <sz val="12"/>
        <color rgb="FF000000"/>
        <rFont val="Calibri"/>
        <charset val="1"/>
      </rPr>
      <t> </t>
    </r>
  </si>
  <si>
    <t>O41-LU </t>
  </si>
  <si>
    <r>
      <t>54563</t>
    </r>
    <r>
      <rPr>
        <sz val="12"/>
        <color rgb="FF000000"/>
        <rFont val="Calibri"/>
        <charset val="1"/>
      </rPr>
      <t> </t>
    </r>
  </si>
  <si>
    <t>O42-LU </t>
  </si>
  <si>
    <r>
      <rPr>
        <sz val="12"/>
        <color rgb="FF000000"/>
        <rFont val="Calibri"/>
      </rPr>
      <t>69610 </t>
    </r>
  </si>
  <si>
    <r>
      <t>30/09/2023</t>
    </r>
    <r>
      <rPr>
        <sz val="12"/>
        <color rgb="FF000000"/>
        <rFont val="Calibri"/>
        <charset val="1"/>
      </rPr>
      <t> </t>
    </r>
  </si>
  <si>
    <t>CIS-SUP-2 </t>
  </si>
  <si>
    <t>FR PE </t>
  </si>
  <si>
    <t>495006 </t>
  </si>
  <si>
    <t>PE-PC23-AA </t>
  </si>
  <si>
    <t>generation failed</t>
  </si>
  <si>
    <t>000FB2 </t>
  </si>
  <si>
    <t>719001 </t>
  </si>
  <si>
    <t>IMPRESS-27903</t>
  </si>
  <si>
    <r>
      <rPr>
        <sz val="12"/>
        <color rgb="FF000000"/>
        <rFont val="Calibri"/>
      </rPr>
      <t>CA7999 </t>
    </r>
  </si>
  <si>
    <t>304033 </t>
  </si>
  <si>
    <r>
      <t>29/11/2024</t>
    </r>
    <r>
      <rPr>
        <sz val="12"/>
        <color rgb="FF000000"/>
        <rFont val="Calibri"/>
        <charset val="1"/>
      </rPr>
      <t> </t>
    </r>
  </si>
  <si>
    <t>Métier</t>
  </si>
  <si>
    <t>Umbrella</t>
  </si>
  <si>
    <t>Compartiments</t>
  </si>
  <si>
    <t>France </t>
  </si>
  <si>
    <t>ACTORE </t>
  </si>
  <si>
    <t>073360; 074037; 074076 </t>
  </si>
  <si>
    <t>31/12/2024 </t>
  </si>
  <si>
    <t>FR-PC23-AA-UMBRELLA -COMPARTMENT </t>
  </si>
  <si>
    <t>FR-PC23-AA-UMBRELLA </t>
  </si>
  <si>
    <t>FR-PC23-AR-UMBRELLA-COMPARTMENT </t>
  </si>
  <si>
    <t>Style Amundi </t>
  </si>
  <si>
    <t>FR-PC23-AR-UMBRELLA </t>
  </si>
  <si>
    <t>H2O </t>
  </si>
  <si>
    <t>2853; 2999; 5400; 5403; 5408 </t>
  </si>
  <si>
    <t>FR-PC23-SAA-UMBRELLA –COMPARTMENT </t>
  </si>
  <si>
    <t>FR-PC23-SAA-UMBRELLA </t>
  </si>
  <si>
    <t>FR-PC23-SAR-UMBRELLA –COMPARTMENT </t>
  </si>
  <si>
    <t>Style h2o-rs </t>
  </si>
  <si>
    <t>FR-PC23-SAR-UMBRELLA </t>
  </si>
  <si>
    <t>Belges </t>
  </si>
  <si>
    <t> 208250 </t>
  </si>
  <si>
    <t>31/1/2024 </t>
  </si>
  <si>
    <t>BE-AR-BELFIUS-CONCATENATION </t>
  </si>
  <si>
    <t>Style Belfius </t>
  </si>
  <si>
    <t> BE-AR-UMBRELLA-COVER-BELFIUS </t>
  </si>
  <si>
    <t> 700008 </t>
  </si>
  <si>
    <t>38565; 38567; 38568; 142366 </t>
  </si>
  <si>
    <t>30/06/2024 </t>
  </si>
  <si>
    <t>BE-SAR-UMBRELLA-CACEIS </t>
  </si>
  <si>
    <t>Style Caceisbe </t>
  </si>
  <si>
    <t> 422670 </t>
  </si>
  <si>
    <t>53826; 53827 </t>
  </si>
  <si>
    <t>BE-AR-UMBRELLA-CACEIS </t>
  </si>
  <si>
    <t> 700085 </t>
  </si>
  <si>
    <t>1780; 1786; 1791; 12485 </t>
  </si>
  <si>
    <t xml:space="preserve">souci GRPC OK /Temps de calcul : élevé (~2h) /
 erreur 504 </t>
  </si>
  <si>
    <t>Lux</t>
  </si>
  <si>
    <t> 207597 </t>
  </si>
  <si>
    <t>152523; 152522; 152521; 151291; 151289; 149458; 149456; 149455; 149454; 149452; 149450; 149448; 149433 </t>
  </si>
  <si>
    <t> SAR-CACEIS-COLUMN-LU-UMBRELLA </t>
  </si>
  <si>
    <t>Style Bellevue </t>
  </si>
  <si>
    <t> 999496 </t>
  </si>
  <si>
    <t>53303; 53302 </t>
  </si>
  <si>
    <t>30/06/2023 </t>
  </si>
  <si>
    <t> AR-CACEIS-LU-MVTS-UMBRELLA </t>
  </si>
  <si>
    <t>170399 </t>
  </si>
  <si>
    <t>1075 </t>
  </si>
  <si>
    <t>AR-STRUCT-INVEST-LU-UMBRELLA </t>
  </si>
  <si>
    <t>RIHAB</t>
  </si>
  <si>
    <t>246841 </t>
  </si>
  <si>
    <r>
      <rPr>
        <sz val="12"/>
        <color rgb="FF000000"/>
        <rFont val="Segoe UI"/>
      </rPr>
      <t xml:space="preserve">51856; 51855; 51785; 51784; 51783; 51782; 51781; 48314; 48313; 48308; 32748; 81715; 81711; 139654; </t>
    </r>
    <r>
      <rPr>
        <sz val="12"/>
        <color rgb="FFFF0000"/>
        <rFont val="Segoe UI"/>
      </rPr>
      <t>81714</t>
    </r>
    <r>
      <rPr>
        <sz val="12"/>
        <color rgb="FF000000"/>
        <rFont val="Segoe UI"/>
      </rPr>
      <t xml:space="preserve">; </t>
    </r>
    <r>
      <rPr>
        <sz val="12"/>
        <color rgb="FFFF0000"/>
        <rFont val="Segoe UI"/>
      </rPr>
      <t>81713</t>
    </r>
    <r>
      <rPr>
        <sz val="12"/>
        <color rgb="FF000000"/>
        <rFont val="Segoe UI"/>
      </rPr>
      <t xml:space="preserve">; </t>
    </r>
    <r>
      <rPr>
        <sz val="12"/>
        <color rgb="FFFF0000"/>
        <rFont val="Segoe UI"/>
      </rPr>
      <t>81712</t>
    </r>
    <r>
      <rPr>
        <sz val="12"/>
        <color rgb="FF000000"/>
        <rFont val="Segoe UI"/>
      </rPr>
      <t xml:space="preserve">; 153870; </t>
    </r>
    <r>
      <rPr>
        <sz val="12"/>
        <color rgb="FFFF0000"/>
        <rFont val="Segoe UI"/>
      </rPr>
      <t>159729; 159728</t>
    </r>
    <r>
      <rPr>
        <sz val="12"/>
        <color rgb="FF000000"/>
        <rFont val="Segoe UI"/>
      </rPr>
      <t> </t>
    </r>
  </si>
  <si>
    <t>30/09/2024 </t>
  </si>
  <si>
    <t>AR-LO-LU-UMBRELLA </t>
  </si>
  <si>
    <t>Style Lombard </t>
  </si>
  <si>
    <t>448519 </t>
  </si>
  <si>
    <t>90601; 90600; 150209; 150203; 150201; 150200; 150188; 150182; 156125; 156122 </t>
  </si>
  <si>
    <t>AR-CACEIS-COLUMN-LU-UMBRELLA </t>
  </si>
  <si>
    <t>517192 </t>
  </si>
  <si>
    <t>136394; 136393; 136392; 136389; 137856; 95154; 144951; 144952 </t>
  </si>
  <si>
    <t>AR-AMUNDI-LU-UMBRELLA </t>
  </si>
  <si>
    <t>608786 </t>
  </si>
  <si>
    <t>149692; 149487; 149486; 149485 </t>
  </si>
  <si>
    <t>28/02/2025 </t>
  </si>
  <si>
    <t>Style Jss </t>
  </si>
  <si>
    <t>999140 </t>
  </si>
  <si>
    <t>44333; 2386; 53373 </t>
  </si>
  <si>
    <t>AR-LO-LU-UMBRELLA-MONO </t>
  </si>
  <si>
    <t>999381 </t>
  </si>
  <si>
    <t>37159; 50891; 8489; 82990 </t>
  </si>
  <si>
    <t>AR-CACEIS-LU-UMBRELLA </t>
  </si>
  <si>
    <t>Imen/ABIR</t>
  </si>
  <si>
    <t>généération OK suite à l'installation du package haithem</t>
  </si>
  <si>
    <t>Suisse </t>
  </si>
  <si>
    <t>272676 </t>
  </si>
  <si>
    <t>31/01/2024 </t>
  </si>
  <si>
    <t>SAR-LO-CH-UMBRELLA </t>
  </si>
  <si>
    <t>Style Lombardch </t>
  </si>
  <si>
    <t>28617; 28604; 29006; 29010 </t>
  </si>
  <si>
    <t>31/07/2024 </t>
  </si>
  <si>
    <t>AR-LO-CH-UMBRELLA </t>
  </si>
  <si>
    <t>technical error generation IMPRESS-27905</t>
  </si>
  <si>
    <t>nx-impress-newdump-qa2</t>
  </si>
  <si>
    <t>357904 </t>
  </si>
  <si>
    <t>452; 438; 32338; 32337; 154521 </t>
  </si>
  <si>
    <t>AR-CACEIS-CH-UMBRELLA </t>
  </si>
  <si>
    <t>Style Caceisch  </t>
  </si>
  <si>
    <t>ETO</t>
  </si>
  <si>
    <r>
      <rPr>
        <sz val="12"/>
        <color rgb="FF172B4D"/>
        <rFont val="Segoe UI"/>
      </rPr>
      <t xml:space="preserve">154521 : compartiment non existant
Calcul : pre compute dqc : skipped
Docx : post compute DQC : skipped
Validation : erreur inattendu 
</t>
    </r>
    <r>
      <rPr>
        <b/>
        <sz val="12"/>
        <color rgb="FF00B050"/>
        <rFont val="Segoe UI"/>
      </rPr>
      <t xml:space="preserve">Rapport final PDF : disponible 
</t>
    </r>
  </si>
  <si>
    <t>637925 </t>
  </si>
  <si>
    <t>159549 </t>
  </si>
  <si>
    <t>28/02/2025  </t>
  </si>
  <si>
    <t>SAR-CACEIS-CH-UMBRELLA </t>
  </si>
  <si>
    <t>Calcul en erreur : technical error</t>
  </si>
  <si>
    <t>999328 </t>
  </si>
  <si>
    <t>89946 </t>
  </si>
  <si>
    <t>31/12/2024  </t>
  </si>
  <si>
    <t>999856 </t>
  </si>
  <si>
    <t>60091; 69567 </t>
  </si>
  <si>
    <t>Style Caceisch </t>
  </si>
  <si>
    <t>technical error pour 60091</t>
  </si>
  <si>
    <t>234312 </t>
  </si>
  <si>
    <t>149370; 149378; 149665; 151630; 151631; 151632; 158526; 171497 </t>
  </si>
  <si>
    <t>31/05/2025 </t>
  </si>
  <si>
    <t>Style Lgt </t>
  </si>
  <si>
    <t>377138 </t>
  </si>
  <si>
    <t>2883 </t>
  </si>
  <si>
    <t>30/06/2025 </t>
  </si>
  <si>
    <t>repPPDate doit être = 31/12/2023 </t>
  </si>
  <si>
    <t>IMPRESS-27914</t>
  </si>
  <si>
    <t>CACEIS- Mapping incorrect – conversion invalide de "INTERNAL" en nombre</t>
  </si>
  <si>
    <t>New</t>
  </si>
  <si>
    <t>10/Apr/2026 16:49</t>
  </si>
  <si>
    <t>IMPRESS-27913</t>
  </si>
  <si>
    <t>[CACEIS] ERROR :missing report auditor validation</t>
  </si>
  <si>
    <t>10/Apr/2026 16:46</t>
  </si>
  <si>
    <t>IMPRESS-27905</t>
  </si>
  <si>
    <t>[Caceis] Generation failed for the report doc AR-LO-CH-UMBRELLA</t>
  </si>
  <si>
    <t>08/Apr/2026 23:16</t>
  </si>
  <si>
    <t>IMPRESS-27904</t>
  </si>
  <si>
    <t>[Caceis] Calculation discrepancies in the Lux report (2)</t>
  </si>
  <si>
    <t>08/Apr/2026 22:41</t>
  </si>
  <si>
    <t>IMPRESS-27911</t>
  </si>
  <si>
    <t>[Caceis] Calculation discrepancies in the PE report</t>
  </si>
  <si>
    <t>08/Apr/2026 17:13</t>
  </si>
  <si>
    <t>IMPRESS-27883</t>
  </si>
  <si>
    <t>[Caceis] Compute failed: report data service error lors de l'activation du HDM</t>
  </si>
  <si>
    <t>03/Apr/2026 19:55</t>
  </si>
  <si>
    <t>IMPRESS-27862</t>
  </si>
  <si>
    <t>[Caceis] Performance issues</t>
  </si>
  <si>
    <t>02/Apr/2026 10:07</t>
  </si>
  <si>
    <t>DHRD-120654, IMPRESS-27814, IMPRESS-27815</t>
  </si>
  <si>
    <t>IMPRESS-27814</t>
  </si>
  <si>
    <t>[Caceis] Calculation discrepancies in the AR-CACEIS-CH-UMBRELLA report (Discrepancy 2)</t>
  </si>
  <si>
    <t>IMPRESS-27800</t>
  </si>
  <si>
    <t>Convergence RefProd – TO de TO : écart entre Caceis et RefProd au niveau de l’écran "Template Order Set up"</t>
  </si>
  <si>
    <t>raised_by_QA</t>
  </si>
  <si>
    <t>Assigned</t>
  </si>
  <si>
    <t>IMPRESS-27920</t>
  </si>
  <si>
    <t>IMPRESS-27761</t>
  </si>
  <si>
    <t>[Caceis] Error ORA-01841 during compute of report CACEIS_LU_MVTS</t>
  </si>
  <si>
    <t>Philippe Auvray</t>
  </si>
  <si>
    <t>SQUAD_IMPRESS_SUPPORT, Technical_Debt_java.time</t>
  </si>
  <si>
    <t>DHRD-120085</t>
  </si>
  <si>
    <t>IMPRESS-27745</t>
  </si>
  <si>
    <t>[caceis] Le code de la task s'affiche au lieu de son nom dans l'écran job report</t>
  </si>
  <si>
    <t>IMPRESS-27909</t>
  </si>
  <si>
    <t>IMPRESS-27683</t>
  </si>
  <si>
    <t>Unable to connect to server - AWS environment</t>
  </si>
  <si>
    <t>Elaa Henchir</t>
  </si>
  <si>
    <t>27/Feb/2026 14:30</t>
  </si>
  <si>
    <t xml:space="preserve">Generated at Tue Apr 14 14:34:21 CEST 2026 by Elhem Toukebri using Jira 7.13.0#713000-sha1:fbf406879436de2f3fb1cfa09c7fa556fb79615a. </t>
  </si>
  <si>
    <t>Statut QA</t>
  </si>
  <si>
    <t>Sarra(Todo)</t>
  </si>
  <si>
    <t>IMPRESS-27917, IMPRESS-17604</t>
  </si>
  <si>
    <t>Test OK</t>
  </si>
  <si>
    <t>Abir</t>
  </si>
  <si>
    <t>Imen Mat:il y a de la  conf à faire. lahcen essiae de tester sur la VM perf refprod</t>
  </si>
  <si>
    <t>Workflow - 2026-01, Workflow - 2026-02-w1/2, Workflow - 2026-02-w1/3, Workflow - 2026-03-w1/2, Workflow - 2026-03-w3/4, Workflow - 2026-04-w1/2, Workflow - 2026-04-w1/3</t>
  </si>
  <si>
    <t>IMPRESS-27916, NXIMPRE-509</t>
  </si>
  <si>
    <t>Imen Mess : fche chez malik</t>
  </si>
  <si>
    <t>Test KO</t>
  </si>
  <si>
    <t xml:space="preserve">Imen mess: fiche non  testable  en interne  </t>
  </si>
  <si>
    <t>IMPRESS-27139</t>
  </si>
  <si>
    <t>Register Fonts for PDF export</t>
  </si>
  <si>
    <t>JasperPlugins</t>
  </si>
  <si>
    <t>SQUAD_IMPRESS_TEMPLATING</t>
  </si>
  <si>
    <t>Validated sur caceis .
A tester sur refprod</t>
  </si>
  <si>
    <t>IMPRESS-27116</t>
  </si>
  <si>
    <t>Add the MANAGEMENT_COMPANY constraint to the O_MANAGEMENT_COMPANY column of the MxText class</t>
  </si>
  <si>
    <t>IMPRESS-27897, NXIMPRE-462</t>
  </si>
  <si>
    <t>A tester sur la refprod</t>
  </si>
  <si>
    <t>IMPRESS-27115</t>
  </si>
  <si>
    <t>Anomalie scope produit utilisation du cache "juridictionId" au lieu de "jurisdictionId"</t>
  </si>
  <si>
    <t>NXIMPRE-463, IMPRESS-26499</t>
  </si>
  <si>
    <t>PRIO 1 Foncti, SQUAD-SUPPORT-Foncti-SPRINT 8, SQUAD-SUPPORT-Foncti-SPRINT 9</t>
  </si>
  <si>
    <t>Rihab( 504 timeout)</t>
  </si>
  <si>
    <t>Rania: TEST OK apres defect : 27942</t>
  </si>
  <si>
    <t xml:space="preserve">Imen Mat: pas jeu de test . vu avec GMO et KJE. Specifique Caceis </t>
  </si>
  <si>
    <t>NXIMPRE-376, IMPRESS-27139</t>
  </si>
  <si>
    <t xml:space="preserve">Generated at Tue Apr 14 11:43:03 CEST 2026 by Elhem Toukebri using Jira 7.13.0#713000-sha1:fbf406879436de2f3fb1cfa09c7fa556fb79615a. </t>
  </si>
  <si>
    <t>New 20/02/2026</t>
  </si>
  <si>
    <t>Calendaire</t>
  </si>
  <si>
    <t xml:space="preserve">Statut test </t>
  </si>
  <si>
    <t>Owner</t>
  </si>
  <si>
    <t xml:space="preserve">Commentaire QA </t>
  </si>
  <si>
    <t>Pays</t>
  </si>
  <si>
    <t>Objectif du TNR</t>
  </si>
  <si>
    <t>Dépendance de l'exécution des cas</t>
  </si>
  <si>
    <t>Portefeuilles</t>
  </si>
  <si>
    <t>Date</t>
  </si>
  <si>
    <t>Rapport</t>
  </si>
  <si>
    <t>Report definition trouve dans report dataview</t>
  </si>
  <si>
    <t>Type de rapport</t>
  </si>
  <si>
    <t>Style</t>
  </si>
  <si>
    <t>Type portefeuille</t>
  </si>
  <si>
    <t>Nourricier</t>
  </si>
  <si>
    <t>WorkFlows Utilisé</t>
  </si>
  <si>
    <t>Hors bilan</t>
  </si>
  <si>
    <t>Pool</t>
  </si>
  <si>
    <t>Portefeuille liquidée dans l'année</t>
  </si>
  <si>
    <t>Part ouverte dans l'année</t>
  </si>
  <si>
    <t>Part fermée dans l'année</t>
  </si>
  <si>
    <t>1er exercice - Reprise
Pas de N-1
Stagging</t>
  </si>
  <si>
    <t>1er exercice - Création d'un nouveau fond
Pas de N-1
Pas de staging</t>
  </si>
  <si>
    <t>Nème exercice
Existence N-1</t>
  </si>
  <si>
    <t>Jour d'arrêté ouvert
(VL présente à la date d'arrêté)</t>
  </si>
  <si>
    <t>Jour d'arrêté non ouvert
(Pas de VL à la date d'arrêté)</t>
  </si>
  <si>
    <t>Surcharge de données</t>
  </si>
  <si>
    <t>Juridiction</t>
  </si>
  <si>
    <t>Langue</t>
  </si>
  <si>
    <t>Multi devise</t>
  </si>
  <si>
    <t>Consolidation</t>
  </si>
  <si>
    <t>SFTR</t>
  </si>
  <si>
    <t>Contribution
Texte</t>
  </si>
  <si>
    <t>Contribution
Calculée</t>
  </si>
  <si>
    <t>Modification version intermédiaire</t>
  </si>
  <si>
    <t>Vérification Lien Hypertexte</t>
  </si>
  <si>
    <t>Intégration certification CAC</t>
  </si>
  <si>
    <t>Edition PDF avec/Sans certification CAC</t>
  </si>
  <si>
    <t>Vérification que la génération du rapport annuel sur un FCPE fonctionne sans intervention ou cas particuliers pour les FCPE</t>
  </si>
  <si>
    <t>ES840</t>
  </si>
  <si>
    <t>FR PC23 - Annual Account</t>
  </si>
  <si>
    <t>Annuel</t>
  </si>
  <si>
    <t>FCPE</t>
  </si>
  <si>
    <t>Workflow allégé sans bdf de comptes annuels OPCVM FR (dissémination audit + pdf)</t>
  </si>
  <si>
    <t>Non</t>
  </si>
  <si>
    <t>Oui</t>
  </si>
  <si>
    <t xml:space="preserve">testé en tnr ( nouveau fund càd ?) </t>
  </si>
  <si>
    <t>Lancement sur 1 nouveau Fond rapport semi annuel</t>
  </si>
  <si>
    <t xml:space="preserve">d'habitude on teste annuel puis semi (indépendamment) </t>
  </si>
  <si>
    <t>Lancement sur 1 nouveau Fond rapport annuel après un semi annuel</t>
  </si>
  <si>
    <t>Dépend du cas précédent</t>
  </si>
  <si>
    <t>testé en TNR</t>
  </si>
  <si>
    <t>Lancement sur 1 nouveau Fond rapport annuel</t>
  </si>
  <si>
    <t>Lancement sur 1 nouveau Fond rapport un semi annuel après annuel</t>
  </si>
  <si>
    <t>new - 13/02</t>
  </si>
  <si>
    <t>A Ajouter</t>
  </si>
  <si>
    <t>Luxembourg</t>
  </si>
  <si>
    <t>Contrôle du COMPUTE and PARAM result</t>
  </si>
  <si>
    <t>442215</t>
  </si>
  <si>
    <t>150181</t>
  </si>
  <si>
    <t>AR_LU_COLONNE</t>
  </si>
  <si>
    <t>CACEIS_LU_UMBRELLA</t>
  </si>
  <si>
    <t>Semestriel</t>
  </si>
  <si>
    <t>Workflow de rapport semestriel OPCVM LU</t>
  </si>
  <si>
    <t>Anglais</t>
  </si>
  <si>
    <t>Workflow de rapport annuel OPCVM LU</t>
  </si>
  <si>
    <t>Contrôle du COMPUTE and PARAM result
Pas de VL au dimanche 30/06/2024</t>
  </si>
  <si>
    <t>448519</t>
  </si>
  <si>
    <t>90601</t>
  </si>
  <si>
    <t>169822</t>
  </si>
  <si>
    <t>Tous les portefeuilles</t>
  </si>
  <si>
    <t>AR_LU_SI</t>
  </si>
  <si>
    <t>Allemand</t>
  </si>
  <si>
    <t>Revue LUX - 13/02</t>
  </si>
  <si>
    <t>AR_LU_LO_MONO</t>
  </si>
  <si>
    <t>LO_LU_UMBRELLA</t>
  </si>
  <si>
    <t>testé en TNR (année differente)</t>
  </si>
  <si>
    <t>AR_LU_LO</t>
  </si>
  <si>
    <t>AR_LU</t>
  </si>
  <si>
    <t>Français</t>
  </si>
  <si>
    <t>AMUNDI_LU</t>
  </si>
  <si>
    <t>AMUNDI_LU_UMBRELLA</t>
  </si>
  <si>
    <t>301312</t>
  </si>
  <si>
    <t>AR_LU_MVT</t>
  </si>
  <si>
    <t>CACEIS_SAR_LU_MVTS_UMBRELLA</t>
  </si>
  <si>
    <t>AR_LU_COMPARATIF</t>
  </si>
  <si>
    <t>CACEIS_LU_SAR_COMP_UMBRELLA</t>
  </si>
  <si>
    <t>Update - 20/02</t>
  </si>
  <si>
    <t>France</t>
  </si>
  <si>
    <t>- Vérification renvoi sommaire OK
- Vérification intégration des contributions niveau PTF+SDG OK</t>
  </si>
  <si>
    <t>008003</t>
  </si>
  <si>
    <t>FR_PC23_RO</t>
  </si>
  <si>
    <t>FR_PC23_AR</t>
  </si>
  <si>
    <t>Carmignac</t>
  </si>
  <si>
    <t>UCITS</t>
  </si>
  <si>
    <t>Workflow allégé calculé de rapport annuel OPCFM FR (Dissémination pdf + docx)</t>
  </si>
  <si>
    <t>Oui pour le bilan actif/passif/compte de résultat)</t>
  </si>
  <si>
    <t>Oui pour le tableau des 5 ans</t>
  </si>
  <si>
    <t>?</t>
  </si>
  <si>
    <t>FR</t>
  </si>
  <si>
    <t>NON</t>
  </si>
  <si>
    <t>Oui (Contribution niveau portefeuille et niveau SDG)</t>
  </si>
  <si>
    <t xml:space="preserve">- Vérification renvoi sommaire OK
- Vérification intégration des contributions niveau PTF+SDG OK
- Vérification modifications de l'intermédaire OK + MAJ sommaire
- Vérification des modifications des contributions AA OK dans le RA </t>
  </si>
  <si>
    <t>850030</t>
  </si>
  <si>
    <t>Edram</t>
  </si>
  <si>
    <t>OPCVM</t>
  </si>
  <si>
    <t>Workflow allégé calculé de rapport annuel OPCFM FR (Dissémination pdf)</t>
  </si>
  <si>
    <t>NA</t>
  </si>
  <si>
    <t>Oui (Modification à faire dans une contribution AA)</t>
  </si>
  <si>
    <t>Affichage de la partie Suisse dans le sommaire et dans le rapport</t>
  </si>
  <si>
    <t>- Vérification intégration contribution SDG (INFO-REGL) pour FES
 - modification contribution SDG pour les FES au niveau du PTF OK (modification ne doit pas impacter les autres FES de la SDG)</t>
  </si>
  <si>
    <t>Hsbc</t>
  </si>
  <si>
    <t>FES</t>
  </si>
  <si>
    <t>Absence de la modification contribution SDG effectuée sur le portefeuille 11842</t>
  </si>
  <si>
    <t>- Vérification intégration contribution SDG (INFO-REGL) pour UCITS</t>
  </si>
  <si>
    <t>- Vérification intégration contribution SDG (INFO-REGL) pour FIA avec date intérieure pour tester la pérénisation des contributions</t>
  </si>
  <si>
    <t>FIVG</t>
  </si>
  <si>
    <t xml:space="preserve">Lancement d'un rapport pour le style Lazard </t>
  </si>
  <si>
    <t>Lazard</t>
  </si>
  <si>
    <t>SICAV/FIVG</t>
  </si>
  <si>
    <t>Lancement d'un rapport pour la maquette Caceis standard avec fichier de planification</t>
  </si>
  <si>
    <t>Caceis-pc</t>
  </si>
  <si>
    <t>OUI</t>
  </si>
  <si>
    <t>Lancement d'un rapport pour la maquette Caceis FES</t>
  </si>
  <si>
    <t>Caceis-fes</t>
  </si>
  <si>
    <t>RMA</t>
  </si>
  <si>
    <t>Lancement d'un rapport pour le style Ubgi</t>
  </si>
  <si>
    <t>Ubgi</t>
  </si>
  <si>
    <t xml:space="preserve">A Ajouter pour cette umbrella </t>
  </si>
  <si>
    <t>Lancement d'une conso pour la maquette Caceis standard</t>
  </si>
  <si>
    <t>CAPWES</t>
  </si>
  <si>
    <t xml:space="preserve"> 548000/548001</t>
  </si>
  <si>
    <t>FR-PC23-AR-UMBRELLA
FR-PC23-AR-UMBRELLA-COMPARTMENT</t>
  </si>
  <si>
    <t>FR_PC23_AR_UMBRELLA</t>
  </si>
  <si>
    <t>FPVG</t>
  </si>
  <si>
    <t>- Lancement d'un rapport pour la maquette NIMI avec fichier de planification
- Vérification d'intégration de fichiers périmètre
- Vérification de la répétition des titres sur toutes les pages du rapport</t>
  </si>
  <si>
    <t>001067</t>
  </si>
  <si>
    <t>nimi</t>
  </si>
  <si>
    <t>Oui (Contribution niveau portefeuille et niveau SDG et fichiers périmètre)</t>
  </si>
  <si>
    <t>Oui (AIFM-EL et Frais maître/nourricier)</t>
  </si>
  <si>
    <t>Lancement d'un rapport FR pour la maquette Nimi</t>
  </si>
  <si>
    <t>000OCR</t>
  </si>
  <si>
    <t>Oui (VAR)</t>
  </si>
  <si>
    <t xml:space="preserve">- Lancement d'un rapport CH pour la maquette Nimi
- Vérification intégration des contributions CH
</t>
  </si>
  <si>
    <t>CH</t>
  </si>
  <si>
    <t>Oui (VAR, performance CH, contribution CH)</t>
  </si>
  <si>
    <t xml:space="preserve">testé sans fichier de planification </t>
  </si>
  <si>
    <t>Lancement d'une conso pour la maquette Nimi avec fichier de planification</t>
  </si>
  <si>
    <t>AEROPE</t>
  </si>
  <si>
    <t>3626 ; 3627</t>
  </si>
  <si>
    <t>Oui (AIFM-EL)</t>
  </si>
  <si>
    <t>Lancement d'un rapport FR pour la maquette Amundi avec fichier de planification</t>
  </si>
  <si>
    <t>050666</t>
  </si>
  <si>
    <t>Amundi</t>
  </si>
  <si>
    <t>Oui (AIFM-EL, FRAIS-KIID, PERF-GLISSANTE)</t>
  </si>
  <si>
    <t>Lancement d'un rapport EN pour la maquette Amundi</t>
  </si>
  <si>
    <t>Oui (Contribution niveau SDG)</t>
  </si>
  <si>
    <t>Lancement d'une conso pour la maquette Amundi</t>
  </si>
  <si>
    <t>PEGMDE</t>
  </si>
  <si>
    <t>073687</t>
  </si>
  <si>
    <t>Oui (AIFM-EL, FRAIS-KIID, PERF-GLISSANTE, MOTIF DEBLOCAGE, REPARTITION DES AVOIRS)</t>
  </si>
  <si>
    <t>A verifier</t>
  </si>
  <si>
    <t>- Vérification intégration contributions excels (VAR relative, taux ESMA et performance glissante pour multi-parts)
- Vérification affichage tableau b ESMA OK</t>
  </si>
  <si>
    <t>050036</t>
  </si>
  <si>
    <t>Oui (PERF-GLISSANTE, VAR relative, taux ESMA)</t>
  </si>
  <si>
    <t>- Lancement d'un rapport CH pour la maquette Amundi
- Vérification intégration des contributions CH</t>
  </si>
  <si>
    <t>Oui (PERF-GLISSANTE, VAR relative, taux ESMA, performance CH , contribution CH)</t>
  </si>
  <si>
    <t>- Vérification intégration contribution excel (VAR absolue)</t>
  </si>
  <si>
    <t>368</t>
  </si>
  <si>
    <t>Vérification métadatas avec lancement manuel du rapport</t>
  </si>
  <si>
    <t>121002</t>
  </si>
  <si>
    <t>caceis-pc</t>
  </si>
  <si>
    <t>Vérification métadatas avec fichier planification</t>
  </si>
  <si>
    <t>121006</t>
  </si>
  <si>
    <t>Lancer un rapport semestriel pour le style carmignac</t>
  </si>
  <si>
    <t>FR-PC23-SAR</t>
  </si>
  <si>
    <t>FR_PC23_SAR</t>
  </si>
  <si>
    <t>IMA</t>
  </si>
  <si>
    <t>Lancer un rapport semestriel pour le style Edram</t>
  </si>
  <si>
    <t>Lancer un rapport semestriel pour le style Hsbc</t>
  </si>
  <si>
    <t>Lancer un rapport semestriel la maquette Caceis standard</t>
  </si>
  <si>
    <t>TNRs</t>
  </si>
  <si>
    <t>Lancer un rapport FR semestriel la maquette Nimi</t>
  </si>
  <si>
    <t>Nimi</t>
  </si>
  <si>
    <t>Lancer un rapport CH semestriel la maquette Nimi</t>
  </si>
  <si>
    <t>Oui (performance CH, contributions CH)</t>
  </si>
  <si>
    <t>Lancer un rapport FR semestriel la maquette Nimi (pour un nourricier)</t>
  </si>
  <si>
    <t>Lancer un rapport conso semestriel la maquette Nimi</t>
  </si>
  <si>
    <t>FR-PC23-SAR-UMBRELLA
FR-PC23-SAR-UMBRELLA-COMPARTMENT</t>
  </si>
  <si>
    <t>SAA OK / SAR KO</t>
  </si>
  <si>
    <t>Lancement d'un rapport FR pour la maquette Amundi</t>
  </si>
  <si>
    <t>Lancement d'un rapport CH pour la maquette Amundi</t>
  </si>
  <si>
    <t>Update 03/03/2026</t>
  </si>
  <si>
    <t>Suisse</t>
  </si>
  <si>
    <t xml:space="preserve">Lancement Fond - rapport annuel, sans données existantes dans DH </t>
  </si>
  <si>
    <t>426860</t>
  </si>
  <si>
    <t>7820/7822/136957</t>
  </si>
  <si>
    <t>AR_CH</t>
  </si>
  <si>
    <t>CACEIS_CH_AR_UMBRELLA</t>
  </si>
  <si>
    <t>Caceisch</t>
  </si>
  <si>
    <t>Annual Report LU UCITS Workflow</t>
  </si>
  <si>
    <t>Oui - stagings tableau Utilisation du résultat, distribution/thésaurisation, TER</t>
  </si>
  <si>
    <t xml:space="preserve">Lancement Fond - rapport annuel, avec N-1 existant dans DH </t>
  </si>
  <si>
    <t>32337/438/452</t>
  </si>
  <si>
    <t xml:space="preserve">Lancement Fond - rapport semi-annuel, sans données existantes dans DH </t>
  </si>
  <si>
    <t>234312</t>
  </si>
  <si>
    <t>158526/151631</t>
  </si>
  <si>
    <t>SAR_CH</t>
  </si>
  <si>
    <t>CACEIS_CH_SAR_UMBRELLA</t>
  </si>
  <si>
    <t>LGT</t>
  </si>
  <si>
    <t>Oui - date de période : 01.06 au 31.05</t>
  </si>
  <si>
    <t>Oui - stagings distribution/thésaurisation, TER, compte de résultat</t>
  </si>
  <si>
    <t>149665/151632</t>
  </si>
  <si>
    <t>AR-CH</t>
  </si>
  <si>
    <t>Annual Report FR UCITS Light Workflow</t>
  </si>
  <si>
    <t xml:space="preserve">Lancement Fond - rapport semi-annuel, avec N-1 existant dans DH </t>
  </si>
  <si>
    <t>999856</t>
  </si>
  <si>
    <t>60091</t>
  </si>
  <si>
    <t xml:space="preserve">A Ajouter </t>
  </si>
  <si>
    <t>Lancement Fond - rapport annuel, reprise</t>
  </si>
  <si>
    <t>159545/159547</t>
  </si>
  <si>
    <t>JSS</t>
  </si>
  <si>
    <t>Lancement Fond - rapport semi-annuel, reprise</t>
  </si>
  <si>
    <t>Oui - stagings distribution/thésaurisation, TER</t>
  </si>
  <si>
    <t xml:space="preserve">Pas de cas sur nos Stds hors lancement de compartiment et avec des données dans DH </t>
  </si>
  <si>
    <t>Lancement Fond - rapport annuel avec lancement de part</t>
  </si>
  <si>
    <t>Lancement Fond - rapport semi-annuel avec lancement de part</t>
  </si>
  <si>
    <t>Lancement Fond - rapport annuel avec lancement de compartiment</t>
  </si>
  <si>
    <t>357904</t>
  </si>
  <si>
    <t>154521</t>
  </si>
  <si>
    <t xml:space="preserve">Oui </t>
  </si>
  <si>
    <t>Lancement Fond - rapport semi-annuel avec lancement de compartiment</t>
  </si>
  <si>
    <t>999328</t>
  </si>
  <si>
    <t>165606</t>
  </si>
  <si>
    <t>Lancement Fond liquidé Std</t>
  </si>
  <si>
    <t>999830</t>
  </si>
  <si>
    <t>58989</t>
  </si>
  <si>
    <t>AR_CH_LIQ</t>
  </si>
  <si>
    <t>CACEIS_CH_AR_COMPART_LIQ</t>
  </si>
  <si>
    <t>Liquidation</t>
  </si>
  <si>
    <t>Cas à venir - rapport lancé en TNR TEST</t>
  </si>
  <si>
    <t>Lancement Fond LO - rapport annuel, avec lancement de compartiment</t>
  </si>
  <si>
    <t>174204</t>
  </si>
  <si>
    <t>AR_CH_LO</t>
  </si>
  <si>
    <t>LO_CH_AR_UMBRELLA</t>
  </si>
  <si>
    <t>Lombardch</t>
  </si>
  <si>
    <t>Lancement Fond LO - rapport annuel, avec lancement de part</t>
  </si>
  <si>
    <t>29008</t>
  </si>
  <si>
    <t xml:space="preserve">Lancement Fond LO - rapport annuel, sans données existantes dans DH </t>
  </si>
  <si>
    <t xml:space="preserve">Lancement Fond LO - rapport semi-annuel, sans données existantes dans DH </t>
  </si>
  <si>
    <t>SAR_CH_LO</t>
  </si>
  <si>
    <t>LO_CH_SAR_UMBRELLA</t>
  </si>
  <si>
    <t>Oui - date de période : 01.07 au 31.01</t>
  </si>
  <si>
    <t xml:space="preserve">Lancement Fond LO - rapport annuel, avec N-1 existant dans DH </t>
  </si>
  <si>
    <t>327006</t>
  </si>
  <si>
    <t>28608/6642</t>
  </si>
  <si>
    <t xml:space="preserve">Lancement Fond LO - rapport semi-annuel, avec N-1 existant dans DH </t>
  </si>
  <si>
    <t>272676</t>
  </si>
  <si>
    <t>29002/29010/28604</t>
  </si>
  <si>
    <t>Lancement Fond liquidé LO</t>
  </si>
  <si>
    <t>28612</t>
  </si>
  <si>
    <t>AR_CH_LO_LIQ</t>
  </si>
  <si>
    <t>LO_CH_RL_COMPART</t>
  </si>
  <si>
    <t>Lancement Fond - rapport annuel, avec dernière NAV GP &lt;&gt; de la date du rapport (en-tête tableau + cover)</t>
  </si>
  <si>
    <t>638136</t>
  </si>
  <si>
    <t>160830</t>
  </si>
  <si>
    <t>Oui - date de période : 01.01 au 31.12</t>
  </si>
  <si>
    <t>Lancement Fond - rapport semi-annuel, avec dernière NAV GP &lt;&gt; de la date du rapport (en-tête tableau + cover)</t>
  </si>
  <si>
    <t>000001</t>
  </si>
  <si>
    <t>9638/9633</t>
  </si>
  <si>
    <t>Oui - date de période : 01.01 au 28.06</t>
  </si>
  <si>
    <t xml:space="preserve">le fond 174204 n'existe pas </t>
  </si>
  <si>
    <t>- Vérification des data params (exercice comptable + de 12 mois)</t>
  </si>
  <si>
    <t>059961</t>
  </si>
  <si>
    <t>FR_PC23_AA</t>
  </si>
  <si>
    <t>Caceis</t>
  </si>
  <si>
    <t>Annual Accounts FR UCITS Light Without BDF Workflow (audit + pdf dissemination)</t>
  </si>
  <si>
    <t>- Vérification des data params (exercice comptable + de 12 mois)
- Vérification tableau 3.4 Principaux mouvements</t>
  </si>
  <si>
    <t>FR_PC23_SFTR_ESMA_MVT</t>
  </si>
  <si>
    <t>Caceis-rs</t>
  </si>
  <si>
    <t>FR_PC23_SAA</t>
  </si>
  <si>
    <t>Semi-annual Accounts FR UCITS Workflow (pdf+audit dissemination)</t>
  </si>
  <si>
    <t>059962</t>
  </si>
  <si>
    <t>FR-PC23-AS</t>
  </si>
  <si>
    <t>Trimestriel</t>
  </si>
  <si>
    <t>Simple Audit FR UCITS Workflow v3 (pdf dissemination)</t>
  </si>
  <si>
    <t>- Vérification des data params (exercice comptable - de 12 mois)</t>
  </si>
  <si>
    <t>270055</t>
  </si>
  <si>
    <t>- Vérification des data params (reprise)</t>
  </si>
  <si>
    <t>270040</t>
  </si>
  <si>
    <t>- Vérification des data params (reprise et première clôture)</t>
  </si>
  <si>
    <t>270042</t>
  </si>
  <si>
    <t>A ajouter</t>
  </si>
  <si>
    <t>- Vérification tableau historical net assets PC23</t>
  </si>
  <si>
    <t>292016</t>
  </si>
  <si>
    <t>RSA_FR_FCP_RO</t>
  </si>
  <si>
    <t>SAA-FR-MONACO</t>
  </si>
  <si>
    <t>Semestriel ou trimestriel</t>
  </si>
  <si>
    <t>Monegasque</t>
  </si>
  <si>
    <t>Autres UE</t>
  </si>
  <si>
    <t>292013</t>
  </si>
  <si>
    <t>- Vérification des data params
- Vérification tableau récapitulatif d'un OGC Annualisé de Clôture</t>
  </si>
  <si>
    <t>106227</t>
  </si>
  <si>
    <t>OGC</t>
  </si>
  <si>
    <t>KIID</t>
  </si>
  <si>
    <t>Mensuel</t>
  </si>
  <si>
    <t>OGC Workflow v2 (txt+audit dissemination)</t>
  </si>
  <si>
    <t>- Vérification des data params
- Vérification tableau récapitulatif d'un OGC Annualisé Estimé</t>
  </si>
  <si>
    <t>- Vérification des data params
- Vérification tableau récapitulatif d'un OGC Roulant de Clôture</t>
  </si>
  <si>
    <t>850150</t>
  </si>
  <si>
    <t>- Vérification des data params
- Vérification tableau récapitulatif d'un OGC Roulant Estimé</t>
  </si>
  <si>
    <t>- Vérification des data params
- Vérification tableau récapitulatif d'un OGC Annualisé de Clôture pour un exercice de - de 12mois</t>
  </si>
  <si>
    <t>850168</t>
  </si>
  <si>
    <t>- Vérification des data params
- Vérification tableau récapitulatif d'un OGC Annualisé de Clôture pour un exercice de + de 12mois</t>
  </si>
  <si>
    <t>106242</t>
  </si>
  <si>
    <t>- Vérification des data params
- Dossier d'acompte pour un fonds avec des distributions multiples au long de l'exercice comptable</t>
  </si>
  <si>
    <t>051441</t>
  </si>
  <si>
    <t>FR_PC23_ID</t>
  </si>
  <si>
    <t>Semestriel (fréquence indéterminée)</t>
  </si>
  <si>
    <t>Annual Accounts FR UCITS Light Workflow (audit + pdf dissemination)</t>
  </si>
  <si>
    <t>- Vérification des data params
- Compte intermédiare ou ad-hoc multiples dans l'exercice</t>
  </si>
  <si>
    <t>050327</t>
  </si>
  <si>
    <t>FR-PC23-IA</t>
  </si>
  <si>
    <t>Semi-annual Accounts FR UCITS Subfund Workflow (pdf+audit dissemination)</t>
  </si>
  <si>
    <t>Update 05/03/2026</t>
  </si>
  <si>
    <t>Belgique</t>
  </si>
  <si>
    <t>Revu global du rapport:
- pas de saut de pages
- format des tableaux reste inchangé
- les libellés dans les tableaux apparaissent correctement en français (pas de tag qui s'affiche)</t>
  </si>
  <si>
    <t xml:space="preserve">AR_BE_CACEIS </t>
  </si>
  <si>
    <t>BE-AR-UMBRELLA-CACEIS</t>
  </si>
  <si>
    <t>Caceisbe</t>
  </si>
  <si>
    <t>Belge</t>
  </si>
  <si>
    <t>Revu global du rapport:
- pas de saut de pages
- format des tableaux reste inchangé
- les libellés dans les tableaux apparaissent correctement en néerlandais (pas de tag qui s'affiche)</t>
  </si>
  <si>
    <t>Generation Workflow</t>
  </si>
  <si>
    <t>Néerlandais</t>
  </si>
  <si>
    <t>BE-AR-UMBRELLA-COVER-BELFIUS</t>
  </si>
  <si>
    <t>Belfius</t>
  </si>
  <si>
    <t>Contrôle page de garde NL + FR</t>
  </si>
  <si>
    <t>BE-AR-BELFIUS-CONCATENATION</t>
  </si>
  <si>
    <t>Français + Néerlandais</t>
  </si>
  <si>
    <t>Contrôle données staging dans bilan, compte de résultat, performances et tableau rachats/souscriptions</t>
  </si>
  <si>
    <t>208283</t>
  </si>
  <si>
    <t>oui</t>
  </si>
  <si>
    <t>Graphique performances montre les graphiques en USD et EUR pour les compartiments 157172 et 157173</t>
  </si>
  <si>
    <t>208265</t>
  </si>
  <si>
    <t>157172 + 157173</t>
  </si>
  <si>
    <t xml:space="preserve">SAR_BE_CACEIS </t>
  </si>
  <si>
    <t>BE-SAR-UMBRELLA-COVER-BELFIUS</t>
  </si>
  <si>
    <t>Semi-annuel</t>
  </si>
  <si>
    <t>Annual Report FR UCITS With Compute Workflow</t>
  </si>
  <si>
    <t>bilan et compte de résultats globalisé prennent les compartiments en USD en compte et convertissent les montants en EUR dans les tableaux globalisés</t>
  </si>
  <si>
    <t>Vérification qu'il y a encore 4 compartiments dans le rapport de Dierirckx Leys au 31/12/2025: 1748, 9137, 72910 et 86838
Les autres compartiments (2807, 72909, 79508, 83686 et 97478) ont été liquidé durant 2025 et ne doivent plus apparaitre dans le rapport</t>
  </si>
  <si>
    <t>700038</t>
  </si>
  <si>
    <t>néerlandais</t>
  </si>
  <si>
    <t>SUP2 qui suit l'année calendaire (année compatble = année calendaire):
vérification que les chiffres n'ont pas changé dans les tableaux</t>
  </si>
  <si>
    <t>700053</t>
  </si>
  <si>
    <t>56751</t>
  </si>
  <si>
    <t>CIS-SUP-2</t>
  </si>
  <si>
    <t>Default</t>
  </si>
  <si>
    <t>Annual Report LU UCITS Subfund Audit Workflow</t>
  </si>
  <si>
    <t>français</t>
  </si>
  <si>
    <t>SUP2 qui ne suit pas l'année calendaire (année comptable =/= année calendaire):
vérification que les chiffres n'ont pas changé dans les tableaux</t>
  </si>
  <si>
    <t>700108</t>
  </si>
  <si>
    <t>41072</t>
  </si>
  <si>
    <t>Page de garde ISIM s'affiche correctement</t>
  </si>
  <si>
    <t>623740</t>
  </si>
  <si>
    <t>nouveau compartiment Alchemy 154225 apparait dans le rapport (date de lancement 08/10/2024) et ne présente pas des données historiques</t>
  </si>
  <si>
    <t>700105</t>
  </si>
  <si>
    <t>154225</t>
  </si>
  <si>
    <t>Revu global d'un rapport qui ne clôture pas au 31/12:
- pas de saut de pages
- format des tableaux reste inchangé
- les libellés dans les tableaux apparaissent correctement en français (pas de tag qui s'affiche)</t>
  </si>
  <si>
    <t>345643</t>
  </si>
  <si>
    <t>Tous les portefeuilles (mono-compartiment)</t>
  </si>
  <si>
    <t>Revu global d'un rapport anglais:
- pas de saut de pages
- format des tableaux reste inchangé
- les libellés dans les tableaux apparaissent correctement en anglais (pas de tag qui s'affiche)</t>
  </si>
  <si>
    <t>528744</t>
  </si>
  <si>
    <t xml:space="preserve">Tous les portefeuilles </t>
  </si>
  <si>
    <t>anglais</t>
  </si>
  <si>
    <t xml:space="preserve">Init AA : 9 min / comparaison OK </t>
  </si>
  <si>
    <t xml:space="preserve">comparaison OK </t>
  </si>
  <si>
    <t>KO IMPRESS-27935</t>
  </si>
  <si>
    <t>KO IMPRESS-27939</t>
  </si>
  <si>
    <r>
      <rPr>
        <sz val="12"/>
        <color rgb="FF172B4D"/>
        <rFont val="Segoe UI"/>
      </rPr>
      <t>289003</t>
    </r>
    <r>
      <rPr>
        <sz val="12"/>
        <color rgb="FF000000"/>
        <rFont val="Calibri"/>
      </rPr>
      <t> </t>
    </r>
  </si>
  <si>
    <t>489039 </t>
  </si>
  <si>
    <r>
      <rPr>
        <b/>
        <sz val="12"/>
        <color rgb="FF00B050"/>
        <rFont val="Aptos Narrow"/>
        <scheme val="minor"/>
      </rPr>
      <t>OK SAA/</t>
    </r>
    <r>
      <rPr>
        <sz val="12"/>
        <color rgb="FFFF0000"/>
        <rFont val="Aptos Narrow"/>
        <scheme val="minor"/>
      </rPr>
      <t xml:space="preserve">KO SAR compute failed : argument of type 'NoneType' is not a container or iterable
</t>
    </r>
  </si>
  <si>
    <t>Certification auditeur failed : validation failed</t>
  </si>
  <si>
    <t>Generation failed : compute template order failed</t>
  </si>
  <si>
    <r>
      <rPr>
        <strike/>
        <sz val="12"/>
        <color rgb="FF172B4D"/>
        <rFont val="Segoe UI"/>
      </rPr>
      <t>30/06/2024  </t>
    </r>
    <r>
      <rPr>
        <sz val="12"/>
        <color rgb="FF172B4D"/>
        <rFont val="Segoe UI"/>
      </rPr>
      <t xml:space="preserve"> 28/06/2024</t>
    </r>
  </si>
  <si>
    <t>calcul failed : compute failed</t>
  </si>
  <si>
    <r>
      <rPr>
        <strike/>
        <sz val="12"/>
        <color rgb="FF172B4D"/>
        <rFont val="Segoe UI"/>
      </rPr>
      <t>30/06/2024</t>
    </r>
    <r>
      <rPr>
        <sz val="12"/>
        <color rgb="FF172B4D"/>
        <rFont val="Segoe UI"/>
      </rPr>
      <t>  </t>
    </r>
    <r>
      <rPr>
        <sz val="12"/>
        <color rgb="FF000000"/>
        <rFont val="Calibri"/>
      </rPr>
      <t> 28/06/2024</t>
    </r>
  </si>
  <si>
    <r>
      <rPr>
        <strike/>
        <sz val="12"/>
        <color rgb="FF172B4D"/>
        <rFont val="Segoe UI"/>
      </rPr>
      <t>30/06/2025</t>
    </r>
    <r>
      <rPr>
        <sz val="12"/>
        <color rgb="FF000000"/>
        <rFont val="Calibri"/>
      </rPr>
      <t> 30/06/2024</t>
    </r>
  </si>
  <si>
    <t xml:space="preserve">pas de rapport de ref </t>
  </si>
  <si>
    <t>technical error lors du calcul</t>
  </si>
  <si>
    <t>Rep Doc UMB n'existe  pas (Verification Template le  problem persiste 
VM template  :  nx-impress-caceis-ref</t>
  </si>
  <si>
    <t xml:space="preserve"> KO : Error: audit data download failed</t>
  </si>
  <si>
    <t>KO : ERROR    compute failed(pas  moyen de  skipper l'etape )</t>
  </si>
  <si>
    <t xml:space="preserve">IME </t>
  </si>
  <si>
    <t>technical error pour 159549
argument of type 'NoneType' is not a container or iterable</t>
  </si>
  <si>
    <t xml:space="preserve">KO </t>
  </si>
  <si>
    <t xml:space="preserve"> ERROR    technical error (Pour tous  les  compartiments  </t>
  </si>
  <si>
    <t>technical error pour compartiment
argument of type 'NoneType' is not a container or iterable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</si>
</sst>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rial"/>
      <family val="2"/>
    </font>
    <font>
      <sz val="6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sz val="7.5"/>
      <color rgb="FF000000"/>
      <name val="Arial"/>
      <family val="2"/>
    </font>
    <font>
      <b/>
      <sz val="12"/>
      <color rgb="FF172B4D"/>
      <name val="Segoe UI"/>
      <family val="2"/>
    </font>
    <font>
      <b/>
      <sz val="12"/>
      <color rgb="FF172B4D"/>
      <name val="Segoe UI"/>
    </font>
    <font>
      <sz val="12"/>
      <color rgb="FF172B4D"/>
      <name val="Segoe UI"/>
    </font>
    <font>
      <sz val="12"/>
      <color rgb="FF22211F"/>
      <name val="Calibri"/>
    </font>
    <font>
      <sz val="12"/>
      <color rgb="FF000000"/>
      <name val="Calibri"/>
    </font>
    <font>
      <sz val="12"/>
      <color rgb="FF000000"/>
      <name val="Calibri"/>
      <charset val="1"/>
    </font>
    <font>
      <b/>
      <sz val="12"/>
      <color rgb="FF000000"/>
      <name val="Segoe UI"/>
    </font>
    <font>
      <b/>
      <sz val="10"/>
      <color rgb="FF000000"/>
      <name val="Segoe UI"/>
    </font>
    <font>
      <sz val="12"/>
      <color rgb="FF172B4D"/>
      <name val="Segoe UI"/>
      <family val="2"/>
    </font>
    <font>
      <b/>
      <sz val="12"/>
      <color rgb="FF00B050"/>
      <name val="Segoe UI"/>
    </font>
    <font>
      <sz val="12"/>
      <color rgb="FF000000"/>
      <name val="Segoe UI"/>
    </font>
    <font>
      <sz val="12"/>
      <color theme="1"/>
      <name val="Aptos Narrow"/>
      <family val="2"/>
      <scheme val="minor"/>
    </font>
    <font>
      <sz val="12"/>
      <name val="Calibri"/>
      <charset val="1"/>
    </font>
    <font>
      <sz val="12"/>
      <color rgb="FF22211F"/>
      <name val="Calibri"/>
      <charset val="1"/>
    </font>
    <font>
      <b/>
      <sz val="12"/>
      <color rgb="FF000000"/>
      <name val="Calibri"/>
      <charset val="1"/>
    </font>
    <font>
      <sz val="10"/>
      <color rgb="FF172B4D"/>
      <name val="Segoe UI"/>
    </font>
    <font>
      <sz val="10"/>
      <color rgb="FF172B4D"/>
      <name val="Segoe UI"/>
      <family val="2"/>
    </font>
    <font>
      <sz val="12"/>
      <color rgb="FF22211F"/>
      <name val="Segoe UI"/>
    </font>
    <font>
      <sz val="12"/>
      <color rgb="FF467886"/>
      <name val="Segoe UI"/>
    </font>
    <font>
      <sz val="12"/>
      <color rgb="FFFF0000"/>
      <name val="Segoe UI"/>
    </font>
    <font>
      <b/>
      <sz val="12"/>
      <color rgb="FFFF0000"/>
      <name val="Segoe UI"/>
      <family val="2"/>
    </font>
    <font>
      <sz val="11"/>
      <color rgb="FFFF0000"/>
      <name val="Arial"/>
      <family val="2"/>
    </font>
    <font>
      <u/>
      <sz val="11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rgb="FF172B4D"/>
      <name val="-Apple-System"/>
      <charset val="1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rgb="FFFF0000"/>
      <name val="Segoe UI"/>
    </font>
    <font>
      <sz val="11"/>
      <color rgb="FF000000"/>
      <name val="Aptos Narrow"/>
      <family val="2"/>
    </font>
    <font>
      <b/>
      <sz val="9"/>
      <color rgb="FF000000"/>
      <name val="Arial"/>
      <family val="2"/>
    </font>
    <font>
      <b/>
      <sz val="12"/>
      <color rgb="FF00B050"/>
      <name val="Aptos Narrow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scheme val="minor"/>
    </font>
    <font>
      <b/>
      <sz val="12"/>
      <color rgb="FF92D050"/>
      <name val="Segoe UI"/>
    </font>
    <font>
      <strike/>
      <sz val="12"/>
      <color rgb="FF172B4D"/>
      <name val="Segoe UI"/>
    </font>
  </fonts>
  <fills count="20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DDDDDD"/>
        <bgColor rgb="FF000000"/>
      </patternFill>
    </fill>
    <fill>
      <patternFill patternType="solid">
        <fgColor rgb="FFF4F5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/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/>
      <bottom/>
      <diagonal/>
    </border>
    <border>
      <left style="medium">
        <color rgb="FFC1C7D0"/>
      </left>
      <right style="medium">
        <color rgb="FFC1C7D0"/>
      </right>
      <top/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/>
      <bottom style="thin">
        <color theme="2" tint="-9.9978637043366805E-2"/>
      </bottom>
      <diagonal/>
    </border>
    <border>
      <left style="medium">
        <color rgb="FFC1C7D0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medium">
        <color rgb="FFC1C7D0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C1C7D0"/>
      </right>
      <top/>
      <bottom/>
      <diagonal/>
    </border>
    <border>
      <left style="medium">
        <color rgb="FFC1C7D0"/>
      </left>
      <right style="thin">
        <color theme="2" tint="-9.9978637043366805E-2"/>
      </right>
      <top/>
      <bottom style="medium">
        <color rgb="FFC1C7D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20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0" xfId="0" applyFont="1"/>
    <xf numFmtId="0" fontId="4" fillId="0" borderId="1" xfId="0" applyFont="1" applyBorder="1" applyAlignment="1">
      <alignment vertical="top" wrapText="1"/>
    </xf>
    <xf numFmtId="49" fontId="1" fillId="0" borderId="1" xfId="1" applyNumberForma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22" fontId="4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1" fillId="0" borderId="6" xfId="2" applyFill="1" applyBorder="1" applyAlignment="1">
      <alignment wrapText="1"/>
    </xf>
    <xf numFmtId="0" fontId="4" fillId="0" borderId="6" xfId="0" applyFont="1" applyBorder="1" applyAlignment="1">
      <alignment wrapText="1"/>
    </xf>
    <xf numFmtId="22" fontId="4" fillId="0" borderId="6" xfId="0" applyNumberFormat="1" applyFont="1" applyBorder="1" applyAlignment="1">
      <alignment wrapText="1"/>
    </xf>
    <xf numFmtId="0" fontId="7" fillId="4" borderId="7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wrapText="1"/>
    </xf>
    <xf numFmtId="0" fontId="1" fillId="5" borderId="6" xfId="2" applyFill="1" applyBorder="1" applyAlignment="1">
      <alignment wrapText="1"/>
    </xf>
    <xf numFmtId="0" fontId="4" fillId="5" borderId="6" xfId="0" applyFont="1" applyFill="1" applyBorder="1" applyAlignment="1">
      <alignment wrapText="1"/>
    </xf>
    <xf numFmtId="22" fontId="4" fillId="5" borderId="6" xfId="0" applyNumberFormat="1" applyFont="1" applyFill="1" applyBorder="1" applyAlignment="1">
      <alignment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49" fontId="9" fillId="0" borderId="8" xfId="0" applyNumberFormat="1" applyFont="1" applyBorder="1" applyAlignment="1">
      <alignment vertical="center" wrapText="1"/>
    </xf>
    <xf numFmtId="14" fontId="9" fillId="0" borderId="8" xfId="0" applyNumberFormat="1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1" fillId="0" borderId="7" xfId="2" applyBorder="1" applyAlignment="1">
      <alignment vertical="center" wrapText="1"/>
    </xf>
    <xf numFmtId="49" fontId="15" fillId="0" borderId="8" xfId="0" applyNumberFormat="1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49" fontId="17" fillId="0" borderId="8" xfId="0" applyNumberFormat="1" applyFont="1" applyBorder="1" applyAlignment="1">
      <alignment vertical="center" wrapText="1"/>
    </xf>
    <xf numFmtId="0" fontId="1" fillId="0" borderId="8" xfId="2" applyBorder="1" applyAlignment="1">
      <alignment vertical="center" wrapText="1"/>
    </xf>
    <xf numFmtId="0" fontId="18" fillId="0" borderId="0" xfId="0" applyFont="1"/>
    <xf numFmtId="0" fontId="9" fillId="0" borderId="9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9" xfId="0" applyFont="1" applyBorder="1" applyAlignment="1">
      <alignment vertical="center" wrapText="1"/>
    </xf>
    <xf numFmtId="0" fontId="15" fillId="0" borderId="11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9" fillId="6" borderId="9" xfId="0" applyFont="1" applyFill="1" applyBorder="1" applyAlignment="1">
      <alignment horizontal="left" vertical="center" wrapText="1"/>
    </xf>
    <xf numFmtId="0" fontId="15" fillId="6" borderId="9" xfId="0" applyFont="1" applyFill="1" applyBorder="1" applyAlignment="1">
      <alignment vertical="center" wrapText="1"/>
    </xf>
    <xf numFmtId="0" fontId="26" fillId="0" borderId="7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vertical="top" wrapText="1"/>
    </xf>
    <xf numFmtId="49" fontId="1" fillId="5" borderId="1" xfId="1" applyNumberFormat="1" applyFill="1" applyBorder="1" applyAlignment="1">
      <alignment horizontal="left" vertical="top" wrapText="1"/>
    </xf>
    <xf numFmtId="49" fontId="4" fillId="5" borderId="1" xfId="0" applyNumberFormat="1" applyFont="1" applyFill="1" applyBorder="1" applyAlignment="1">
      <alignment horizontal="left" vertical="top" wrapText="1"/>
    </xf>
    <xf numFmtId="22" fontId="4" fillId="5" borderId="1" xfId="0" applyNumberFormat="1" applyFont="1" applyFill="1" applyBorder="1" applyAlignment="1">
      <alignment vertical="top" wrapText="1"/>
    </xf>
    <xf numFmtId="0" fontId="3" fillId="5" borderId="0" xfId="0" applyFont="1" applyFill="1"/>
    <xf numFmtId="0" fontId="0" fillId="5" borderId="0" xfId="0" applyFill="1"/>
    <xf numFmtId="0" fontId="4" fillId="8" borderId="1" xfId="0" applyFont="1" applyFill="1" applyBorder="1" applyAlignment="1">
      <alignment vertical="top" wrapText="1"/>
    </xf>
    <xf numFmtId="49" fontId="1" fillId="8" borderId="1" xfId="1" applyNumberFormat="1" applyFill="1" applyBorder="1" applyAlignment="1">
      <alignment horizontal="left" vertical="top" wrapText="1"/>
    </xf>
    <xf numFmtId="49" fontId="4" fillId="8" borderId="1" xfId="0" applyNumberFormat="1" applyFont="1" applyFill="1" applyBorder="1" applyAlignment="1">
      <alignment horizontal="left" vertical="top" wrapText="1"/>
    </xf>
    <xf numFmtId="22" fontId="4" fillId="8" borderId="1" xfId="0" applyNumberFormat="1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49" fontId="1" fillId="7" borderId="1" xfId="1" applyNumberFormat="1" applyFill="1" applyBorder="1" applyAlignment="1">
      <alignment horizontal="left" vertical="top" wrapText="1"/>
    </xf>
    <xf numFmtId="49" fontId="4" fillId="7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vertical="top" wrapText="1"/>
    </xf>
    <xf numFmtId="49" fontId="29" fillId="0" borderId="1" xfId="1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22" fontId="28" fillId="0" borderId="1" xfId="0" applyNumberFormat="1" applyFont="1" applyBorder="1" applyAlignment="1">
      <alignment vertical="top" wrapText="1"/>
    </xf>
    <xf numFmtId="0" fontId="30" fillId="0" borderId="0" xfId="0" applyFont="1"/>
    <xf numFmtId="0" fontId="31" fillId="7" borderId="0" xfId="0" applyFont="1" applyFill="1"/>
    <xf numFmtId="0" fontId="0" fillId="0" borderId="0" xfId="0" applyAlignment="1">
      <alignment wrapText="1"/>
    </xf>
    <xf numFmtId="0" fontId="4" fillId="6" borderId="1" xfId="0" applyFont="1" applyFill="1" applyBorder="1" applyAlignment="1">
      <alignment vertical="top" wrapText="1"/>
    </xf>
    <xf numFmtId="49" fontId="1" fillId="6" borderId="1" xfId="1" applyNumberFormat="1" applyFill="1" applyBorder="1" applyAlignment="1">
      <alignment horizontal="left" vertical="top" wrapText="1"/>
    </xf>
    <xf numFmtId="49" fontId="4" fillId="6" borderId="1" xfId="0" applyNumberFormat="1" applyFont="1" applyFill="1" applyBorder="1" applyAlignment="1">
      <alignment horizontal="left" vertical="top" wrapText="1"/>
    </xf>
    <xf numFmtId="22" fontId="4" fillId="6" borderId="1" xfId="0" applyNumberFormat="1" applyFont="1" applyFill="1" applyBorder="1" applyAlignment="1">
      <alignment vertical="top" wrapText="1"/>
    </xf>
    <xf numFmtId="0" fontId="1" fillId="0" borderId="0" xfId="2"/>
    <xf numFmtId="9" fontId="0" fillId="0" borderId="0" xfId="0" applyNumberFormat="1"/>
    <xf numFmtId="0" fontId="32" fillId="0" borderId="0" xfId="0" applyFont="1"/>
    <xf numFmtId="0" fontId="33" fillId="0" borderId="0" xfId="0" applyFont="1" applyAlignment="1">
      <alignment horizontal="left" wrapText="1"/>
    </xf>
    <xf numFmtId="0" fontId="3" fillId="8" borderId="0" xfId="0" applyFont="1" applyFill="1"/>
    <xf numFmtId="0" fontId="3" fillId="7" borderId="0" xfId="0" applyFont="1" applyFill="1"/>
    <xf numFmtId="0" fontId="5" fillId="5" borderId="1" xfId="0" applyFont="1" applyFill="1" applyBorder="1" applyAlignment="1">
      <alignment vertical="top" wrapText="1"/>
    </xf>
    <xf numFmtId="0" fontId="9" fillId="7" borderId="9" xfId="0" applyFont="1" applyFill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4" fillId="9" borderId="5" xfId="0" applyFont="1" applyFill="1" applyBorder="1" applyAlignment="1">
      <alignment wrapText="1"/>
    </xf>
    <xf numFmtId="0" fontId="4" fillId="9" borderId="6" xfId="0" applyFont="1" applyFill="1" applyBorder="1" applyAlignment="1">
      <alignment wrapText="1"/>
    </xf>
    <xf numFmtId="0" fontId="1" fillId="9" borderId="6" xfId="2" applyFill="1" applyBorder="1" applyAlignment="1">
      <alignment wrapText="1"/>
    </xf>
    <xf numFmtId="22" fontId="4" fillId="9" borderId="6" xfId="0" applyNumberFormat="1" applyFont="1" applyFill="1" applyBorder="1" applyAlignment="1">
      <alignment wrapText="1"/>
    </xf>
    <xf numFmtId="0" fontId="4" fillId="10" borderId="5" xfId="0" applyFont="1" applyFill="1" applyBorder="1" applyAlignment="1">
      <alignment wrapText="1"/>
    </xf>
    <xf numFmtId="0" fontId="4" fillId="10" borderId="6" xfId="0" applyFont="1" applyFill="1" applyBorder="1" applyAlignment="1">
      <alignment wrapText="1"/>
    </xf>
    <xf numFmtId="0" fontId="1" fillId="10" borderId="6" xfId="2" applyFill="1" applyBorder="1" applyAlignment="1">
      <alignment wrapText="1"/>
    </xf>
    <xf numFmtId="22" fontId="4" fillId="10" borderId="6" xfId="0" applyNumberFormat="1" applyFont="1" applyFill="1" applyBorder="1" applyAlignment="1">
      <alignment wrapText="1"/>
    </xf>
    <xf numFmtId="0" fontId="4" fillId="11" borderId="6" xfId="0" applyFont="1" applyFill="1" applyBorder="1" applyAlignment="1">
      <alignment wrapText="1"/>
    </xf>
    <xf numFmtId="0" fontId="1" fillId="11" borderId="6" xfId="2" applyFill="1" applyBorder="1" applyAlignment="1">
      <alignment wrapText="1"/>
    </xf>
    <xf numFmtId="0" fontId="4" fillId="11" borderId="5" xfId="0" applyFont="1" applyFill="1" applyBorder="1" applyAlignment="1">
      <alignment wrapText="1"/>
    </xf>
    <xf numFmtId="0" fontId="4" fillId="7" borderId="5" xfId="0" applyFont="1" applyFill="1" applyBorder="1" applyAlignment="1">
      <alignment wrapText="1"/>
    </xf>
    <xf numFmtId="0" fontId="4" fillId="7" borderId="6" xfId="0" applyFont="1" applyFill="1" applyBorder="1" applyAlignment="1">
      <alignment wrapText="1"/>
    </xf>
    <xf numFmtId="0" fontId="1" fillId="7" borderId="6" xfId="2" applyFill="1" applyBorder="1" applyAlignment="1">
      <alignment wrapText="1"/>
    </xf>
    <xf numFmtId="0" fontId="0" fillId="7" borderId="0" xfId="0" applyFill="1"/>
    <xf numFmtId="0" fontId="4" fillId="12" borderId="5" xfId="0" applyFont="1" applyFill="1" applyBorder="1" applyAlignment="1">
      <alignment wrapText="1"/>
    </xf>
    <xf numFmtId="0" fontId="4" fillId="12" borderId="6" xfId="0" applyFont="1" applyFill="1" applyBorder="1" applyAlignment="1">
      <alignment wrapText="1"/>
    </xf>
    <xf numFmtId="0" fontId="1" fillId="12" borderId="6" xfId="2" applyFill="1" applyBorder="1" applyAlignment="1">
      <alignment wrapText="1"/>
    </xf>
    <xf numFmtId="0" fontId="0" fillId="12" borderId="0" xfId="0" applyFill="1"/>
    <xf numFmtId="14" fontId="0" fillId="0" borderId="0" xfId="0" applyNumberFormat="1"/>
    <xf numFmtId="0" fontId="34" fillId="13" borderId="19" xfId="0" applyFont="1" applyFill="1" applyBorder="1"/>
    <xf numFmtId="0" fontId="0" fillId="0" borderId="0" xfId="0" quotePrefix="1" applyAlignment="1">
      <alignment wrapText="1"/>
    </xf>
    <xf numFmtId="49" fontId="0" fillId="0" borderId="0" xfId="0" applyNumberFormat="1"/>
    <xf numFmtId="49" fontId="0" fillId="0" borderId="0" xfId="0" quotePrefix="1" applyNumberFormat="1"/>
    <xf numFmtId="0" fontId="35" fillId="0" borderId="0" xfId="0" applyFont="1" applyAlignment="1">
      <alignment wrapText="1"/>
    </xf>
    <xf numFmtId="49" fontId="35" fillId="0" borderId="0" xfId="0" applyNumberFormat="1" applyFont="1"/>
    <xf numFmtId="0" fontId="35" fillId="0" borderId="0" xfId="0" applyFont="1"/>
    <xf numFmtId="0" fontId="4" fillId="12" borderId="1" xfId="0" applyFont="1" applyFill="1" applyBorder="1" applyAlignment="1">
      <alignment wrapText="1"/>
    </xf>
    <xf numFmtId="22" fontId="4" fillId="12" borderId="6" xfId="0" applyNumberFormat="1" applyFont="1" applyFill="1" applyBorder="1" applyAlignment="1">
      <alignment wrapText="1"/>
    </xf>
    <xf numFmtId="0" fontId="9" fillId="0" borderId="20" xfId="0" applyFont="1" applyBorder="1" applyAlignment="1">
      <alignment vertical="center" wrapText="1"/>
    </xf>
    <xf numFmtId="14" fontId="0" fillId="5" borderId="0" xfId="0" applyNumberFormat="1" applyFill="1"/>
    <xf numFmtId="14" fontId="0" fillId="12" borderId="0" xfId="0" applyNumberFormat="1" applyFill="1"/>
    <xf numFmtId="0" fontId="4" fillId="8" borderId="5" xfId="0" applyFont="1" applyFill="1" applyBorder="1" applyAlignment="1">
      <alignment wrapText="1"/>
    </xf>
    <xf numFmtId="0" fontId="4" fillId="8" borderId="6" xfId="0" applyFont="1" applyFill="1" applyBorder="1" applyAlignment="1">
      <alignment wrapText="1"/>
    </xf>
    <xf numFmtId="0" fontId="1" fillId="8" borderId="6" xfId="2" applyFill="1" applyBorder="1" applyAlignment="1">
      <alignment wrapText="1"/>
    </xf>
    <xf numFmtId="22" fontId="4" fillId="8" borderId="6" xfId="0" applyNumberFormat="1" applyFont="1" applyFill="1" applyBorder="1" applyAlignment="1">
      <alignment wrapText="1"/>
    </xf>
    <xf numFmtId="0" fontId="0" fillId="8" borderId="0" xfId="0" applyFill="1"/>
    <xf numFmtId="0" fontId="26" fillId="0" borderId="10" xfId="0" applyFont="1" applyBorder="1" applyAlignment="1">
      <alignment vertical="center" wrapText="1"/>
    </xf>
    <xf numFmtId="14" fontId="0" fillId="8" borderId="0" xfId="0" applyNumberFormat="1" applyFill="1"/>
    <xf numFmtId="0" fontId="36" fillId="0" borderId="10" xfId="0" applyFont="1" applyBorder="1" applyAlignment="1">
      <alignment vertical="center" wrapText="1"/>
    </xf>
    <xf numFmtId="0" fontId="4" fillId="14" borderId="5" xfId="0" applyFont="1" applyFill="1" applyBorder="1" applyAlignment="1">
      <alignment wrapText="1"/>
    </xf>
    <xf numFmtId="0" fontId="4" fillId="14" borderId="6" xfId="0" applyFont="1" applyFill="1" applyBorder="1" applyAlignment="1">
      <alignment wrapText="1"/>
    </xf>
    <xf numFmtId="0" fontId="1" fillId="14" borderId="6" xfId="2" applyFill="1" applyBorder="1" applyAlignment="1">
      <alignment wrapText="1"/>
    </xf>
    <xf numFmtId="22" fontId="4" fillId="11" borderId="6" xfId="0" applyNumberFormat="1" applyFont="1" applyFill="1" applyBorder="1" applyAlignment="1">
      <alignment wrapText="1"/>
    </xf>
    <xf numFmtId="0" fontId="37" fillId="0" borderId="0" xfId="0" applyFont="1"/>
    <xf numFmtId="0" fontId="5" fillId="0" borderId="6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10" borderId="1" xfId="0" applyFont="1" applyFill="1" applyBorder="1" applyAlignment="1">
      <alignment wrapText="1"/>
    </xf>
    <xf numFmtId="0" fontId="37" fillId="9" borderId="0" xfId="0" applyFont="1" applyFill="1"/>
    <xf numFmtId="0" fontId="37" fillId="11" borderId="0" xfId="0" applyFont="1" applyFill="1"/>
    <xf numFmtId="0" fontId="15" fillId="15" borderId="9" xfId="0" applyFont="1" applyFill="1" applyBorder="1" applyAlignment="1">
      <alignment vertical="center" wrapText="1"/>
    </xf>
    <xf numFmtId="0" fontId="38" fillId="8" borderId="0" xfId="0" applyFont="1" applyFill="1"/>
    <xf numFmtId="0" fontId="9" fillId="5" borderId="9" xfId="0" applyFont="1" applyFill="1" applyBorder="1" applyAlignment="1">
      <alignment horizontal="left" vertical="center" wrapText="1"/>
    </xf>
    <xf numFmtId="0" fontId="15" fillId="5" borderId="9" xfId="0" applyFont="1" applyFill="1" applyBorder="1" applyAlignment="1">
      <alignment vertical="center" wrapText="1"/>
    </xf>
    <xf numFmtId="0" fontId="17" fillId="5" borderId="7" xfId="0" applyFont="1" applyFill="1" applyBorder="1" applyAlignment="1">
      <alignment horizontal="left" vertical="center" wrapText="1"/>
    </xf>
    <xf numFmtId="0" fontId="26" fillId="12" borderId="7" xfId="0" applyFont="1" applyFill="1" applyBorder="1" applyAlignment="1">
      <alignment horizontal="left" vertical="center" wrapText="1"/>
    </xf>
    <xf numFmtId="0" fontId="26" fillId="5" borderId="7" xfId="0" applyFont="1" applyFill="1" applyBorder="1" applyAlignment="1">
      <alignment horizontal="left" vertical="center" wrapText="1"/>
    </xf>
    <xf numFmtId="0" fontId="15" fillId="12" borderId="9" xfId="0" applyFont="1" applyFill="1" applyBorder="1" applyAlignment="1">
      <alignment horizontal="left" vertical="center" wrapText="1"/>
    </xf>
    <xf numFmtId="0" fontId="9" fillId="15" borderId="9" xfId="0" applyFont="1" applyFill="1" applyBorder="1" applyAlignment="1">
      <alignment horizontal="left" vertical="center" wrapText="1"/>
    </xf>
    <xf numFmtId="0" fontId="15" fillId="15" borderId="9" xfId="0" applyFont="1" applyFill="1" applyBorder="1" applyAlignment="1">
      <alignment horizontal="left" vertical="center" wrapText="1"/>
    </xf>
    <xf numFmtId="0" fontId="26" fillId="15" borderId="7" xfId="0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17" borderId="5" xfId="0" applyFont="1" applyFill="1" applyBorder="1" applyAlignment="1">
      <alignment wrapText="1"/>
    </xf>
    <xf numFmtId="0" fontId="4" fillId="17" borderId="6" xfId="0" applyFont="1" applyFill="1" applyBorder="1" applyAlignment="1">
      <alignment wrapText="1"/>
    </xf>
    <xf numFmtId="0" fontId="1" fillId="17" borderId="6" xfId="2" applyFill="1" applyBorder="1" applyAlignment="1">
      <alignment wrapText="1"/>
    </xf>
    <xf numFmtId="0" fontId="0" fillId="17" borderId="0" xfId="0" applyFill="1"/>
    <xf numFmtId="0" fontId="40" fillId="0" borderId="0" xfId="0" applyFont="1" applyAlignment="1">
      <alignment wrapText="1"/>
    </xf>
    <xf numFmtId="0" fontId="42" fillId="0" borderId="10" xfId="0" applyFont="1" applyBorder="1" applyAlignment="1">
      <alignment vertical="center" wrapText="1"/>
    </xf>
    <xf numFmtId="0" fontId="4" fillId="18" borderId="5" xfId="0" applyFont="1" applyFill="1" applyBorder="1" applyAlignment="1">
      <alignment wrapText="1"/>
    </xf>
    <xf numFmtId="0" fontId="4" fillId="18" borderId="6" xfId="0" applyFont="1" applyFill="1" applyBorder="1" applyAlignment="1">
      <alignment wrapText="1"/>
    </xf>
    <xf numFmtId="0" fontId="1" fillId="18" borderId="6" xfId="2" applyFill="1" applyBorder="1" applyAlignment="1">
      <alignment wrapText="1"/>
    </xf>
    <xf numFmtId="22" fontId="4" fillId="18" borderId="6" xfId="0" applyNumberFormat="1" applyFont="1" applyFill="1" applyBorder="1" applyAlignment="1">
      <alignment wrapText="1"/>
    </xf>
    <xf numFmtId="0" fontId="0" fillId="18" borderId="0" xfId="0" applyFill="1"/>
    <xf numFmtId="14" fontId="0" fillId="7" borderId="0" xfId="0" applyNumberFormat="1" applyFill="1"/>
    <xf numFmtId="0" fontId="15" fillId="0" borderId="9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9" fillId="12" borderId="9" xfId="0" applyFont="1" applyFill="1" applyBorder="1" applyAlignment="1">
      <alignment horizontal="left" vertical="center" wrapText="1"/>
    </xf>
    <xf numFmtId="0" fontId="9" fillId="12" borderId="12" xfId="0" applyFont="1" applyFill="1" applyBorder="1" applyAlignment="1">
      <alignment horizontal="left" vertical="center" wrapText="1"/>
    </xf>
    <xf numFmtId="0" fontId="9" fillId="12" borderId="13" xfId="0" applyFont="1" applyFill="1" applyBorder="1" applyAlignment="1">
      <alignment horizontal="left" vertical="center" wrapText="1"/>
    </xf>
    <xf numFmtId="0" fontId="15" fillId="12" borderId="9" xfId="0" applyFont="1" applyFill="1" applyBorder="1" applyAlignment="1">
      <alignment horizontal="left" vertical="center" wrapText="1"/>
    </xf>
    <xf numFmtId="0" fontId="15" fillId="12" borderId="13" xfId="0" applyFont="1" applyFill="1" applyBorder="1" applyAlignment="1">
      <alignment horizontal="left" vertical="center" wrapText="1"/>
    </xf>
    <xf numFmtId="0" fontId="15" fillId="12" borderId="11" xfId="0" applyFont="1" applyFill="1" applyBorder="1" applyAlignment="1">
      <alignment horizontal="left" vertical="center" wrapText="1"/>
    </xf>
    <xf numFmtId="0" fontId="9" fillId="12" borderId="11" xfId="0" applyFont="1" applyFill="1" applyBorder="1" applyAlignment="1">
      <alignment horizontal="left" vertical="center" wrapText="1"/>
    </xf>
    <xf numFmtId="0" fontId="9" fillId="5" borderId="9" xfId="0" applyFont="1" applyFill="1" applyBorder="1" applyAlignment="1">
      <alignment horizontal="left" vertical="center" wrapText="1"/>
    </xf>
    <xf numFmtId="0" fontId="9" fillId="5" borderId="12" xfId="0" applyFont="1" applyFill="1" applyBorder="1" applyAlignment="1">
      <alignment horizontal="left" vertical="center" wrapText="1"/>
    </xf>
    <xf numFmtId="0" fontId="9" fillId="5" borderId="13" xfId="0" applyFont="1" applyFill="1" applyBorder="1" applyAlignment="1">
      <alignment horizontal="left" vertical="center" wrapText="1"/>
    </xf>
    <xf numFmtId="0" fontId="15" fillId="5" borderId="9" xfId="0" applyFont="1" applyFill="1" applyBorder="1" applyAlignment="1">
      <alignment horizontal="left" vertical="center" wrapText="1"/>
    </xf>
    <xf numFmtId="0" fontId="15" fillId="5" borderId="13" xfId="0" applyFont="1" applyFill="1" applyBorder="1" applyAlignment="1">
      <alignment horizontal="left" vertical="center" wrapText="1"/>
    </xf>
    <xf numFmtId="0" fontId="15" fillId="5" borderId="11" xfId="0" applyFont="1" applyFill="1" applyBorder="1" applyAlignment="1">
      <alignment horizontal="left" vertical="center" wrapText="1"/>
    </xf>
    <xf numFmtId="0" fontId="17" fillId="5" borderId="14" xfId="0" applyFont="1" applyFill="1" applyBorder="1" applyAlignment="1">
      <alignment horizontal="left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26" fillId="16" borderId="14" xfId="0" applyFont="1" applyFill="1" applyBorder="1" applyAlignment="1">
      <alignment horizontal="center" vertical="center" wrapText="1"/>
    </xf>
    <xf numFmtId="0" fontId="26" fillId="16" borderId="16" xfId="0" applyFont="1" applyFill="1" applyBorder="1" applyAlignment="1">
      <alignment horizontal="center" vertical="center" wrapText="1"/>
    </xf>
    <xf numFmtId="0" fontId="26" fillId="16" borderId="15" xfId="0" applyFont="1" applyFill="1" applyBorder="1" applyAlignment="1">
      <alignment horizontal="center" vertical="center" wrapText="1"/>
    </xf>
    <xf numFmtId="0" fontId="26" fillId="16" borderId="17" xfId="0" applyFont="1" applyFill="1" applyBorder="1" applyAlignment="1">
      <alignment horizontal="center" vertical="center" wrapText="1"/>
    </xf>
    <xf numFmtId="0" fontId="15" fillId="16" borderId="9" xfId="0" applyFont="1" applyFill="1" applyBorder="1" applyAlignment="1">
      <alignment horizontal="left" vertical="center" wrapText="1"/>
    </xf>
    <xf numFmtId="0" fontId="15" fillId="16" borderId="12" xfId="0" applyFont="1" applyFill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27" fillId="0" borderId="9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left" vertical="center" wrapText="1"/>
    </xf>
    <xf numFmtId="0" fontId="17" fillId="12" borderId="14" xfId="0" applyFont="1" applyFill="1" applyBorder="1" applyAlignment="1">
      <alignment horizontal="left" vertical="center" wrapText="1"/>
    </xf>
    <xf numFmtId="0" fontId="26" fillId="12" borderId="16" xfId="0" applyFont="1" applyFill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17" fillId="12" borderId="7" xfId="0" applyFont="1" applyFill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15" borderId="9" xfId="0" applyFont="1" applyFill="1" applyBorder="1" applyAlignment="1">
      <alignment horizontal="left" vertical="center" wrapText="1"/>
    </xf>
    <xf numFmtId="0" fontId="9" fillId="15" borderId="11" xfId="0" applyFont="1" applyFill="1" applyBorder="1" applyAlignment="1">
      <alignment horizontal="left" vertical="center" wrapText="1"/>
    </xf>
    <xf numFmtId="0" fontId="15" fillId="15" borderId="9" xfId="0" applyFont="1" applyFill="1" applyBorder="1" applyAlignment="1">
      <alignment horizontal="left" vertical="center" wrapText="1"/>
    </xf>
    <xf numFmtId="0" fontId="15" fillId="15" borderId="13" xfId="0" applyFont="1" applyFill="1" applyBorder="1" applyAlignment="1">
      <alignment horizontal="left" vertical="center" wrapText="1"/>
    </xf>
    <xf numFmtId="0" fontId="9" fillId="16" borderId="9" xfId="0" applyFont="1" applyFill="1" applyBorder="1" applyAlignment="1">
      <alignment horizontal="left" vertical="center" wrapText="1"/>
    </xf>
    <xf numFmtId="0" fontId="9" fillId="16" borderId="12" xfId="0" applyFont="1" applyFill="1" applyBorder="1" applyAlignment="1">
      <alignment horizontal="left" vertical="center" wrapText="1"/>
    </xf>
    <xf numFmtId="0" fontId="9" fillId="5" borderId="11" xfId="0" applyFont="1" applyFill="1" applyBorder="1" applyAlignment="1">
      <alignment horizontal="left" vertical="center" wrapText="1"/>
    </xf>
    <xf numFmtId="0" fontId="15" fillId="15" borderId="11" xfId="0" applyFont="1" applyFill="1" applyBorder="1" applyAlignment="1">
      <alignment horizontal="left" vertical="center" wrapText="1"/>
    </xf>
    <xf numFmtId="0" fontId="9" fillId="7" borderId="9" xfId="0" applyFont="1" applyFill="1" applyBorder="1" applyAlignment="1">
      <alignment horizontal="left" vertical="center" wrapText="1"/>
    </xf>
    <xf numFmtId="0" fontId="9" fillId="7" borderId="11" xfId="0" applyFont="1" applyFill="1" applyBorder="1" applyAlignment="1">
      <alignment horizontal="left" vertical="center" wrapText="1"/>
    </xf>
    <xf numFmtId="0" fontId="15" fillId="7" borderId="9" xfId="0" applyFont="1" applyFill="1" applyBorder="1" applyAlignment="1">
      <alignment horizontal="left" vertical="center" wrapText="1"/>
    </xf>
    <xf numFmtId="0" fontId="15" fillId="7" borderId="13" xfId="0" applyFont="1" applyFill="1" applyBorder="1" applyAlignment="1">
      <alignment horizontal="left" vertical="center" wrapText="1"/>
    </xf>
    <xf numFmtId="0" fontId="15" fillId="7" borderId="11" xfId="0" applyFont="1" applyFill="1" applyBorder="1" applyAlignment="1">
      <alignment horizontal="left" vertical="center" wrapText="1"/>
    </xf>
    <xf numFmtId="0" fontId="25" fillId="0" borderId="7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6" fillId="3" borderId="2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9" fillId="7" borderId="12" xfId="0" applyFont="1" applyFill="1" applyBorder="1" applyAlignment="1">
      <alignment horizontal="left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top" wrapText="1"/>
    </xf>
    <xf numFmtId="0" fontId="15" fillId="0" borderId="11" xfId="0" applyFont="1" applyBorder="1" applyAlignment="1">
      <alignment horizontal="left" vertical="top" wrapText="1"/>
    </xf>
    <xf numFmtId="0" fontId="4" fillId="19" borderId="18" xfId="0" applyFont="1" applyFill="1" applyBorder="1" applyAlignment="1">
      <alignment wrapText="1"/>
    </xf>
    <xf numFmtId="0" fontId="4" fillId="19" borderId="6" xfId="0" applyFont="1" applyFill="1" applyBorder="1" applyAlignment="1">
      <alignment wrapText="1"/>
    </xf>
    <xf numFmtId="0" fontId="1" fillId="19" borderId="6" xfId="2" applyFill="1" applyBorder="1" applyAlignment="1">
      <alignment wrapText="1"/>
    </xf>
    <xf numFmtId="0" fontId="0" fillId="19" borderId="0" xfId="0" applyFill="1"/>
  </cellXfs>
  <cellStyles count="3">
    <cellStyle name="Hyperlink" xfId="2" xr:uid="{00000000-000B-0000-0000-000008000000}"/>
    <cellStyle name="Lien hypertexte" xfId="1" builtinId="8"/>
    <cellStyle name="Normal" xfId="0" builtinId="0"/>
  </cellStyles>
  <dxfs count="2">
    <dxf>
      <numFmt numFmtId="19" formatCode="dd/mm/yyyy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38A7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7B6948-6190-4DD3-9AAF-C8AB916ED391}" name="Tableau32" displayName="Tableau32" ref="E4:AN129" totalsRowShown="0">
  <autoFilter ref="E4:AN129" xr:uid="{DD048FB0-B1A1-428E-AED9-F6C820D25FEA}">
    <filterColumn colId="0">
      <filters blank="1">
        <filter val="A Ajouter"/>
        <filter val="A Ajouter pour cette umbrella"/>
      </filters>
    </filterColumn>
  </autoFilter>
  <tableColumns count="36">
    <tableColumn id="36" xr3:uid="{15FCEABC-3285-481D-9A16-D70F8BAE531E}" name="Commentaire QA " dataDxfId="1"/>
    <tableColumn id="1" xr3:uid="{AA829DB0-5074-4196-B4DB-56DDD6E77DDA}" name="Pays"/>
    <tableColumn id="2" xr3:uid="{5B11D6AF-5F0E-4E88-8369-D0696C7F623E}" name="Objectif du TNR"/>
    <tableColumn id="3" xr3:uid="{E31C0766-6993-4927-A2F3-F2B7DF9CE46F}" name="Dépendance de l'exécution des cas"/>
    <tableColumn id="4" xr3:uid="{86B2CB05-B9A1-4E3C-BBCA-35FDA3946325}" name="Umbrella"/>
    <tableColumn id="5" xr3:uid="{6DB490E3-7CCC-4BB7-B7A3-48DFE79E86F6}" name="Portefeuilles"/>
    <tableColumn id="6" xr3:uid="{2A3E4D7A-30C6-43B3-B0C3-B66F0A6D9DE9}" name="Date" dataDxfId="0"/>
    <tableColumn id="7" xr3:uid="{004AEB8B-ACBE-4686-8D91-B04E6EC1E08B}" name="Rapport"/>
    <tableColumn id="8" xr3:uid="{6D310976-0BCE-4500-ACE5-47A27620D1F7}" name="Report definition trouve dans report dataview"/>
    <tableColumn id="9" xr3:uid="{6437A7BC-6C69-4BC7-AB38-5FF4674CC89A}" name="Type de rapport"/>
    <tableColumn id="10" xr3:uid="{397CD2D5-35CE-4B70-BCDE-667F23DA3A79}" name="Style"/>
    <tableColumn id="11" xr3:uid="{CCE8445D-E1A7-4A28-9971-4A3A2FAA12AC}" name="Type portefeuille"/>
    <tableColumn id="12" xr3:uid="{532F860E-613B-4B05-8C55-4632013E0AAA}" name="Nourricier"/>
    <tableColumn id="13" xr3:uid="{AA4EFD54-591A-4DA5-B145-CAF88BA3BBA4}" name="WorkFlows Utilisé"/>
    <tableColumn id="14" xr3:uid="{D6EA7F2A-C99D-496A-924A-0EC542A6A38B}" name="Hors bilan"/>
    <tableColumn id="15" xr3:uid="{D3F79542-C62E-4928-9707-796F6E3B6ABD}" name="Pool"/>
    <tableColumn id="16" xr3:uid="{AFA9D14E-2C90-47FE-858E-1011ADE19D1B}" name="Portefeuille liquidée dans l'année"/>
    <tableColumn id="17" xr3:uid="{28FAA9AD-AC85-44AA-A857-A36034D02776}" name="Part ouverte dans l'année"/>
    <tableColumn id="18" xr3:uid="{5556375A-E396-4DFD-8744-867BA5A223E6}" name="Part fermée dans l'année"/>
    <tableColumn id="19" xr3:uid="{888D3947-3C67-4709-AC89-8257CE778CC3}" name="1er exercice - Reprise_x000a_Pas de N-1_x000a_Stagging"/>
    <tableColumn id="20" xr3:uid="{2C958FB3-617A-4A1E-A41A-6B4285C4E56C}" name="1er exercice - Création d'un nouveau fond_x000a_Pas de N-1_x000a_Pas de staging"/>
    <tableColumn id="21" xr3:uid="{515D8F00-AEAB-41DD-8115-BA67AA656A92}" name="Nème exercice_x000a_Existence N-1"/>
    <tableColumn id="22" xr3:uid="{C1D34CB7-6DE8-42A6-A5DF-4D96D8A1C581}" name="Jour d'arrêté ouvert_x000a_(VL présente à la date d'arrêté)"/>
    <tableColumn id="23" xr3:uid="{59793DE2-5A70-4AA3-9D30-64E3DE3EF943}" name="Jour d'arrêté non ouvert_x000a_(Pas de VL à la date d'arrêté)"/>
    <tableColumn id="24" xr3:uid="{E1AF9363-33FD-4940-923E-977ECB6193BE}" name="Surcharge de données"/>
    <tableColumn id="25" xr3:uid="{F3B7FD5C-2EA1-46C9-962A-FC7A3D26DE85}" name="Juridiction"/>
    <tableColumn id="26" xr3:uid="{72126A6F-D2CE-45B3-AB0E-D1412D8C6DBA}" name="Langue"/>
    <tableColumn id="27" xr3:uid="{0C3EA5FD-78B3-4205-BFD3-AF9A0A619621}" name="Multi devise"/>
    <tableColumn id="28" xr3:uid="{D9D8C105-F280-4C38-B37B-7BAFE6F8E888}" name="Consolidation"/>
    <tableColumn id="29" xr3:uid="{A85D12AD-6985-4B3D-B4E3-B57EADCE8E7D}" name="SFTR"/>
    <tableColumn id="30" xr3:uid="{17DDEBBC-50E4-4696-BF8E-61FC845AD900}" name="Contribution_x000a_Texte"/>
    <tableColumn id="31" xr3:uid="{2C2C3638-B6CD-43C0-AB4A-D7F09D652EE1}" name="Contribution_x000a_Calculée"/>
    <tableColumn id="32" xr3:uid="{452AE4A9-D144-4091-8262-29E92A21A6AA}" name="Modification version intermédiaire"/>
    <tableColumn id="33" xr3:uid="{EF521599-1BA3-4BA2-BE43-84ED20EE95EC}" name="Vérification Lien Hypertexte"/>
    <tableColumn id="34" xr3:uid="{261EAB89-30B4-4E87-8CC2-4E74CB1383C9}" name="Intégration certification CAC"/>
    <tableColumn id="35" xr3:uid="{D48BCF07-8A94-4AA8-906A-71EAEA7B946C}" name="Edition PDF avec/Sans certification CA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nx-impress-caceis-tnrs320.bams.corp/impress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support.neoxam.com/browse/IMPRESS-27755" TargetMode="External"/><Relationship Id="rId18" Type="http://schemas.openxmlformats.org/officeDocument/2006/relationships/hyperlink" Target="https://support.neoxam.com/browse/IMPRESS-27715" TargetMode="External"/><Relationship Id="rId26" Type="http://schemas.openxmlformats.org/officeDocument/2006/relationships/hyperlink" Target="https://support.neoxam.com/browse/IMPRESS-27600" TargetMode="External"/><Relationship Id="rId39" Type="http://schemas.openxmlformats.org/officeDocument/2006/relationships/hyperlink" Target="https://support.neoxam.com/browse/IMPRESS-27181" TargetMode="External"/><Relationship Id="rId21" Type="http://schemas.openxmlformats.org/officeDocument/2006/relationships/hyperlink" Target="https://support.neoxam.com/browse/IMPRESS-27680" TargetMode="External"/><Relationship Id="rId34" Type="http://schemas.openxmlformats.org/officeDocument/2006/relationships/hyperlink" Target="https://support.neoxam.com/browse/IMPRESS-27262" TargetMode="External"/><Relationship Id="rId42" Type="http://schemas.openxmlformats.org/officeDocument/2006/relationships/hyperlink" Target="https://support.neoxam.com/browse/IMPRESS-26884" TargetMode="External"/><Relationship Id="rId47" Type="http://schemas.openxmlformats.org/officeDocument/2006/relationships/hyperlink" Target="https://support.neoxam.com/browse/IMPRESS-26566" TargetMode="External"/><Relationship Id="rId50" Type="http://schemas.openxmlformats.org/officeDocument/2006/relationships/hyperlink" Target="https://support.neoxam.com/browse/IMPRESS-19628" TargetMode="External"/><Relationship Id="rId7" Type="http://schemas.openxmlformats.org/officeDocument/2006/relationships/hyperlink" Target="https://support.neoxam.com/browse/IMPRESS-27801" TargetMode="External"/><Relationship Id="rId2" Type="http://schemas.openxmlformats.org/officeDocument/2006/relationships/hyperlink" Target="https://support.neoxam.com/browse/IMPRESS-27850" TargetMode="External"/><Relationship Id="rId16" Type="http://schemas.openxmlformats.org/officeDocument/2006/relationships/hyperlink" Target="https://support.neoxam.com/browse/IMPRESS-27734" TargetMode="External"/><Relationship Id="rId29" Type="http://schemas.openxmlformats.org/officeDocument/2006/relationships/hyperlink" Target="https://support.neoxam.com/browse/IMPRESS-27512" TargetMode="External"/><Relationship Id="rId11" Type="http://schemas.openxmlformats.org/officeDocument/2006/relationships/hyperlink" Target="https://support.neoxam.com/browse/IMPRESS-27762" TargetMode="External"/><Relationship Id="rId24" Type="http://schemas.openxmlformats.org/officeDocument/2006/relationships/hyperlink" Target="https://support.neoxam.com/browse/IMPRESS-27648" TargetMode="External"/><Relationship Id="rId32" Type="http://schemas.openxmlformats.org/officeDocument/2006/relationships/hyperlink" Target="https://support.neoxam.com/browse/IMPRESS-27333" TargetMode="External"/><Relationship Id="rId37" Type="http://schemas.openxmlformats.org/officeDocument/2006/relationships/hyperlink" Target="https://support.neoxam.com/browse/IMPRESS-27250" TargetMode="External"/><Relationship Id="rId40" Type="http://schemas.openxmlformats.org/officeDocument/2006/relationships/hyperlink" Target="https://support.neoxam.com/browse/IMPRESS-27081" TargetMode="External"/><Relationship Id="rId45" Type="http://schemas.openxmlformats.org/officeDocument/2006/relationships/hyperlink" Target="https://support.neoxam.com/browse/IMPRESS-26711" TargetMode="External"/><Relationship Id="rId5" Type="http://schemas.openxmlformats.org/officeDocument/2006/relationships/hyperlink" Target="https://support.neoxam.com/browse/IMPRESS-27825" TargetMode="External"/><Relationship Id="rId15" Type="http://schemas.openxmlformats.org/officeDocument/2006/relationships/hyperlink" Target="https://support.neoxam.com/browse/IMPRESS-27740" TargetMode="External"/><Relationship Id="rId23" Type="http://schemas.openxmlformats.org/officeDocument/2006/relationships/hyperlink" Target="https://support.neoxam.com/browse/IMPRESS-27657" TargetMode="External"/><Relationship Id="rId28" Type="http://schemas.openxmlformats.org/officeDocument/2006/relationships/hyperlink" Target="https://support.neoxam.com/browse/IMPRESS-27583" TargetMode="External"/><Relationship Id="rId36" Type="http://schemas.openxmlformats.org/officeDocument/2006/relationships/hyperlink" Target="https://support.neoxam.com/browse/IMPRESS-27251" TargetMode="External"/><Relationship Id="rId49" Type="http://schemas.openxmlformats.org/officeDocument/2006/relationships/hyperlink" Target="https://support.neoxam.com/browse/IMPRESS-21729" TargetMode="External"/><Relationship Id="rId10" Type="http://schemas.openxmlformats.org/officeDocument/2006/relationships/hyperlink" Target="https://support.neoxam.com/browse/IMPRESS-27775" TargetMode="External"/><Relationship Id="rId19" Type="http://schemas.openxmlformats.org/officeDocument/2006/relationships/hyperlink" Target="https://support.neoxam.com/browse/IMPRESS-27688" TargetMode="External"/><Relationship Id="rId31" Type="http://schemas.openxmlformats.org/officeDocument/2006/relationships/hyperlink" Target="https://support.neoxam.com/browse/IMPRESS-27404" TargetMode="External"/><Relationship Id="rId44" Type="http://schemas.openxmlformats.org/officeDocument/2006/relationships/hyperlink" Target="https://support.neoxam.com/browse/IMPRESS-26720" TargetMode="External"/><Relationship Id="rId4" Type="http://schemas.openxmlformats.org/officeDocument/2006/relationships/hyperlink" Target="https://support.neoxam.com/browse/IMPRESS-27840" TargetMode="External"/><Relationship Id="rId9" Type="http://schemas.openxmlformats.org/officeDocument/2006/relationships/hyperlink" Target="https://support.neoxam.com/browse/IMPRESS-27778" TargetMode="External"/><Relationship Id="rId14" Type="http://schemas.openxmlformats.org/officeDocument/2006/relationships/hyperlink" Target="https://support.neoxam.com/browse/IMPRESS-27747" TargetMode="External"/><Relationship Id="rId22" Type="http://schemas.openxmlformats.org/officeDocument/2006/relationships/hyperlink" Target="https://support.neoxam.com/browse/IMPRESS-27670" TargetMode="External"/><Relationship Id="rId27" Type="http://schemas.openxmlformats.org/officeDocument/2006/relationships/hyperlink" Target="https://support.neoxam.com/browse/IMPRESS-27593" TargetMode="External"/><Relationship Id="rId30" Type="http://schemas.openxmlformats.org/officeDocument/2006/relationships/hyperlink" Target="https://support.neoxam.com/browse/IMPRESS-27430" TargetMode="External"/><Relationship Id="rId35" Type="http://schemas.openxmlformats.org/officeDocument/2006/relationships/hyperlink" Target="https://support.neoxam.com/browse/IMPRESS-27259" TargetMode="External"/><Relationship Id="rId43" Type="http://schemas.openxmlformats.org/officeDocument/2006/relationships/hyperlink" Target="https://support.neoxam.com/browse/IMPRESS-26841" TargetMode="External"/><Relationship Id="rId48" Type="http://schemas.openxmlformats.org/officeDocument/2006/relationships/hyperlink" Target="https://support.neoxam.com/browse/IMPRESS-26511" TargetMode="External"/><Relationship Id="rId8" Type="http://schemas.openxmlformats.org/officeDocument/2006/relationships/hyperlink" Target="https://support.neoxam.com/browse/IMPRESS-27795" TargetMode="External"/><Relationship Id="rId3" Type="http://schemas.openxmlformats.org/officeDocument/2006/relationships/hyperlink" Target="https://support.neoxam.com/browse/IMPRESS-27842" TargetMode="External"/><Relationship Id="rId12" Type="http://schemas.openxmlformats.org/officeDocument/2006/relationships/hyperlink" Target="https://support.neoxam.com/browse/IMPRESS-27760" TargetMode="External"/><Relationship Id="rId17" Type="http://schemas.openxmlformats.org/officeDocument/2006/relationships/hyperlink" Target="https://support.neoxam.com/browse/IMPRESS-27716" TargetMode="External"/><Relationship Id="rId25" Type="http://schemas.openxmlformats.org/officeDocument/2006/relationships/hyperlink" Target="https://support.neoxam.com/browse/IMPRESS-27645" TargetMode="External"/><Relationship Id="rId33" Type="http://schemas.openxmlformats.org/officeDocument/2006/relationships/hyperlink" Target="https://support.neoxam.com/browse/IMPRESS-27288" TargetMode="External"/><Relationship Id="rId38" Type="http://schemas.openxmlformats.org/officeDocument/2006/relationships/hyperlink" Target="https://support.neoxam.com/browse/IMPRESS-27230" TargetMode="External"/><Relationship Id="rId46" Type="http://schemas.openxmlformats.org/officeDocument/2006/relationships/hyperlink" Target="https://support.neoxam.com/browse/IMPRESS-26660" TargetMode="External"/><Relationship Id="rId20" Type="http://schemas.openxmlformats.org/officeDocument/2006/relationships/hyperlink" Target="https://support.neoxam.com/browse/IMPRESS-27682" TargetMode="External"/><Relationship Id="rId41" Type="http://schemas.openxmlformats.org/officeDocument/2006/relationships/hyperlink" Target="https://support.neoxam.com/browse/IMPRESS-27065" TargetMode="External"/><Relationship Id="rId1" Type="http://schemas.openxmlformats.org/officeDocument/2006/relationships/hyperlink" Target="https://support.neoxam.com/browse/IMPRESS-27853" TargetMode="External"/><Relationship Id="rId6" Type="http://schemas.openxmlformats.org/officeDocument/2006/relationships/hyperlink" Target="https://support.neoxam.com/browse/IMPRESS-27815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support.neoxam.com/browse/IMPRESS-27755" TargetMode="External"/><Relationship Id="rId18" Type="http://schemas.openxmlformats.org/officeDocument/2006/relationships/hyperlink" Target="https://support.neoxam.com/browse/IMPRESS-27657" TargetMode="External"/><Relationship Id="rId26" Type="http://schemas.openxmlformats.org/officeDocument/2006/relationships/hyperlink" Target="https://support.neoxam.com/browse/IMPRESS-27262" TargetMode="External"/><Relationship Id="rId21" Type="http://schemas.openxmlformats.org/officeDocument/2006/relationships/hyperlink" Target="https://support.neoxam.com/browse/IMPRESS-27583" TargetMode="External"/><Relationship Id="rId34" Type="http://schemas.openxmlformats.org/officeDocument/2006/relationships/hyperlink" Target="https://support.neoxam.com/browse/IMPRESS-26711" TargetMode="External"/><Relationship Id="rId7" Type="http://schemas.openxmlformats.org/officeDocument/2006/relationships/hyperlink" Target="https://support.neoxam.com/browse/IMPRESS-27796" TargetMode="External"/><Relationship Id="rId12" Type="http://schemas.openxmlformats.org/officeDocument/2006/relationships/hyperlink" Target="https://support.neoxam.com/browse/IMPRESS-27760" TargetMode="External"/><Relationship Id="rId17" Type="http://schemas.openxmlformats.org/officeDocument/2006/relationships/hyperlink" Target="https://support.neoxam.com/browse/IMPRESS-27680" TargetMode="External"/><Relationship Id="rId25" Type="http://schemas.openxmlformats.org/officeDocument/2006/relationships/hyperlink" Target="https://support.neoxam.com/browse/IMPRESS-27333" TargetMode="External"/><Relationship Id="rId33" Type="http://schemas.openxmlformats.org/officeDocument/2006/relationships/hyperlink" Target="https://support.neoxam.com/browse/IMPRESS-26884" TargetMode="External"/><Relationship Id="rId38" Type="http://schemas.openxmlformats.org/officeDocument/2006/relationships/hyperlink" Target="https://support.neoxam.com/browse/IMPRESS-19628" TargetMode="External"/><Relationship Id="rId2" Type="http://schemas.openxmlformats.org/officeDocument/2006/relationships/hyperlink" Target="https://support.neoxam.com/browse/IMPRESS-27853" TargetMode="External"/><Relationship Id="rId16" Type="http://schemas.openxmlformats.org/officeDocument/2006/relationships/hyperlink" Target="https://support.neoxam.com/browse/IMPRESS-27715" TargetMode="External"/><Relationship Id="rId20" Type="http://schemas.openxmlformats.org/officeDocument/2006/relationships/hyperlink" Target="https://support.neoxam.com/browse/IMPRESS-27645" TargetMode="External"/><Relationship Id="rId29" Type="http://schemas.openxmlformats.org/officeDocument/2006/relationships/hyperlink" Target="https://support.neoxam.com/browse/IMPRESS-27250" TargetMode="External"/><Relationship Id="rId1" Type="http://schemas.openxmlformats.org/officeDocument/2006/relationships/hyperlink" Target="https://support.neoxam.com/browse/IMPRESS-27893" TargetMode="External"/><Relationship Id="rId6" Type="http://schemas.openxmlformats.org/officeDocument/2006/relationships/hyperlink" Target="https://support.neoxam.com/browse/IMPRESS-27815" TargetMode="External"/><Relationship Id="rId11" Type="http://schemas.openxmlformats.org/officeDocument/2006/relationships/hyperlink" Target="https://support.neoxam.com/browse/IMPRESS-27762" TargetMode="External"/><Relationship Id="rId24" Type="http://schemas.openxmlformats.org/officeDocument/2006/relationships/hyperlink" Target="https://support.neoxam.com/browse/IMPRESS-27404" TargetMode="External"/><Relationship Id="rId32" Type="http://schemas.openxmlformats.org/officeDocument/2006/relationships/hyperlink" Target="https://support.neoxam.com/browse/IMPRESS-27065" TargetMode="External"/><Relationship Id="rId37" Type="http://schemas.openxmlformats.org/officeDocument/2006/relationships/hyperlink" Target="https://support.neoxam.com/browse/IMPRESS-26511" TargetMode="External"/><Relationship Id="rId5" Type="http://schemas.openxmlformats.org/officeDocument/2006/relationships/hyperlink" Target="https://support.neoxam.com/browse/IMPRESS-27825" TargetMode="External"/><Relationship Id="rId15" Type="http://schemas.openxmlformats.org/officeDocument/2006/relationships/hyperlink" Target="https://support.neoxam.com/browse/IMPRESS-27716" TargetMode="External"/><Relationship Id="rId23" Type="http://schemas.openxmlformats.org/officeDocument/2006/relationships/hyperlink" Target="https://support.neoxam.com/browse/IMPRESS-27430" TargetMode="External"/><Relationship Id="rId28" Type="http://schemas.openxmlformats.org/officeDocument/2006/relationships/hyperlink" Target="https://support.neoxam.com/browse/IMPRESS-27251" TargetMode="External"/><Relationship Id="rId36" Type="http://schemas.openxmlformats.org/officeDocument/2006/relationships/hyperlink" Target="https://support.neoxam.com/browse/IMPRESS-26566" TargetMode="External"/><Relationship Id="rId10" Type="http://schemas.openxmlformats.org/officeDocument/2006/relationships/hyperlink" Target="https://support.neoxam.com/browse/IMPRESS-27763" TargetMode="External"/><Relationship Id="rId19" Type="http://schemas.openxmlformats.org/officeDocument/2006/relationships/hyperlink" Target="https://support.neoxam.com/browse/IMPRESS-27648" TargetMode="External"/><Relationship Id="rId31" Type="http://schemas.openxmlformats.org/officeDocument/2006/relationships/hyperlink" Target="https://support.neoxam.com/browse/IMPRESS-27081" TargetMode="External"/><Relationship Id="rId4" Type="http://schemas.openxmlformats.org/officeDocument/2006/relationships/hyperlink" Target="https://support.neoxam.com/browse/IMPRESS-27842" TargetMode="External"/><Relationship Id="rId9" Type="http://schemas.openxmlformats.org/officeDocument/2006/relationships/hyperlink" Target="https://support.neoxam.com/browse/IMPRESS-27775" TargetMode="External"/><Relationship Id="rId14" Type="http://schemas.openxmlformats.org/officeDocument/2006/relationships/hyperlink" Target="https://support.neoxam.com/browse/IMPRESS-27743" TargetMode="External"/><Relationship Id="rId22" Type="http://schemas.openxmlformats.org/officeDocument/2006/relationships/hyperlink" Target="https://support.neoxam.com/browse/IMPRESS-27512" TargetMode="External"/><Relationship Id="rId27" Type="http://schemas.openxmlformats.org/officeDocument/2006/relationships/hyperlink" Target="https://support.neoxam.com/browse/IMPRESS-27259" TargetMode="External"/><Relationship Id="rId30" Type="http://schemas.openxmlformats.org/officeDocument/2006/relationships/hyperlink" Target="https://support.neoxam.com/browse/IMPRESS-27230" TargetMode="External"/><Relationship Id="rId35" Type="http://schemas.openxmlformats.org/officeDocument/2006/relationships/hyperlink" Target="https://support.neoxam.com/browse/IMPRESS-26660" TargetMode="External"/><Relationship Id="rId8" Type="http://schemas.openxmlformats.org/officeDocument/2006/relationships/hyperlink" Target="https://support.neoxam.com/browse/IMPRESS-27792" TargetMode="External"/><Relationship Id="rId3" Type="http://schemas.openxmlformats.org/officeDocument/2006/relationships/hyperlink" Target="https://support.neoxam.com/browse/IMPRESS-27850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nx-impress-newdump-320qa.bams.corp/" TargetMode="External"/><Relationship Id="rId1" Type="http://schemas.openxmlformats.org/officeDocument/2006/relationships/hyperlink" Target="http://nx-impress-newdump-320qa.bams.corp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upport.neoxam.com/browse/IMPRESS-27903" TargetMode="External"/><Relationship Id="rId13" Type="http://schemas.openxmlformats.org/officeDocument/2006/relationships/hyperlink" Target="https://support.neoxam.com/browse/IMPRESS-27815" TargetMode="External"/><Relationship Id="rId18" Type="http://schemas.openxmlformats.org/officeDocument/2006/relationships/hyperlink" Target="https://support.neoxam.com/browse/IMPRESS-27763" TargetMode="External"/><Relationship Id="rId3" Type="http://schemas.openxmlformats.org/officeDocument/2006/relationships/hyperlink" Target="https://support.neoxam.com/browse/IMPRESS-27670" TargetMode="External"/><Relationship Id="rId21" Type="http://schemas.openxmlformats.org/officeDocument/2006/relationships/hyperlink" Target="https://support.neoxam.com/browse/IMPRESS-27755" TargetMode="External"/><Relationship Id="rId7" Type="http://schemas.openxmlformats.org/officeDocument/2006/relationships/hyperlink" Target="https://support.neoxam.com/browse/IMPRESS-27904" TargetMode="External"/><Relationship Id="rId12" Type="http://schemas.openxmlformats.org/officeDocument/2006/relationships/hyperlink" Target="https://support.neoxam.com/browse/IMPRESS-27842" TargetMode="External"/><Relationship Id="rId17" Type="http://schemas.openxmlformats.org/officeDocument/2006/relationships/hyperlink" Target="https://support.neoxam.com/browse/IMPRESS-27775" TargetMode="External"/><Relationship Id="rId2" Type="http://schemas.openxmlformats.org/officeDocument/2006/relationships/hyperlink" Target="https://support.neoxam.com/browse/IMPRESS-27740" TargetMode="External"/><Relationship Id="rId16" Type="http://schemas.openxmlformats.org/officeDocument/2006/relationships/hyperlink" Target="https://support.neoxam.com/browse/IMPRESS-27796" TargetMode="External"/><Relationship Id="rId20" Type="http://schemas.openxmlformats.org/officeDocument/2006/relationships/hyperlink" Target="https://support.neoxam.com/browse/IMPRESS-27761" TargetMode="External"/><Relationship Id="rId1" Type="http://schemas.openxmlformats.org/officeDocument/2006/relationships/hyperlink" Target="https://support.neoxam.com/browse/IMPRESS-27755" TargetMode="External"/><Relationship Id="rId6" Type="http://schemas.openxmlformats.org/officeDocument/2006/relationships/hyperlink" Target="https://support.neoxam.com/browse/IMPRESS-27905" TargetMode="External"/><Relationship Id="rId11" Type="http://schemas.openxmlformats.org/officeDocument/2006/relationships/hyperlink" Target="https://support.neoxam.com/browse/IMPRESS-27850" TargetMode="External"/><Relationship Id="rId5" Type="http://schemas.openxmlformats.org/officeDocument/2006/relationships/hyperlink" Target="https://support.neoxam.com/browse/IMPRESS-27913" TargetMode="External"/><Relationship Id="rId15" Type="http://schemas.openxmlformats.org/officeDocument/2006/relationships/hyperlink" Target="https://support.neoxam.com/browse/IMPRESS-27800" TargetMode="External"/><Relationship Id="rId23" Type="http://schemas.openxmlformats.org/officeDocument/2006/relationships/hyperlink" Target="https://support.neoxam.com/browse/IMPRESS-27683" TargetMode="External"/><Relationship Id="rId10" Type="http://schemas.openxmlformats.org/officeDocument/2006/relationships/hyperlink" Target="https://support.neoxam.com/browse/IMPRESS-27862" TargetMode="External"/><Relationship Id="rId19" Type="http://schemas.openxmlformats.org/officeDocument/2006/relationships/hyperlink" Target="https://support.neoxam.com/browse/IMPRESS-27762" TargetMode="External"/><Relationship Id="rId4" Type="http://schemas.openxmlformats.org/officeDocument/2006/relationships/hyperlink" Target="https://support.neoxam.com/browse/IMPRESS-27914" TargetMode="External"/><Relationship Id="rId9" Type="http://schemas.openxmlformats.org/officeDocument/2006/relationships/hyperlink" Target="https://support.neoxam.com/browse/IMPRESS-27883" TargetMode="External"/><Relationship Id="rId14" Type="http://schemas.openxmlformats.org/officeDocument/2006/relationships/hyperlink" Target="https://support.neoxam.com/browse/IMPRESS-27814" TargetMode="External"/><Relationship Id="rId22" Type="http://schemas.openxmlformats.org/officeDocument/2006/relationships/hyperlink" Target="https://support.neoxam.com/browse/IMPRESS-27745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support.neoxam.com/browse/IMPRESS-27250" TargetMode="External"/><Relationship Id="rId13" Type="http://schemas.openxmlformats.org/officeDocument/2006/relationships/hyperlink" Target="https://support.neoxam.com/browse/IMPRESS-27081" TargetMode="External"/><Relationship Id="rId18" Type="http://schemas.openxmlformats.org/officeDocument/2006/relationships/hyperlink" Target="https://support.neoxam.com/browse/IMPRESS-26511" TargetMode="External"/><Relationship Id="rId3" Type="http://schemas.openxmlformats.org/officeDocument/2006/relationships/hyperlink" Target="https://support.neoxam.com/browse/IMPRESS-27430" TargetMode="External"/><Relationship Id="rId7" Type="http://schemas.openxmlformats.org/officeDocument/2006/relationships/hyperlink" Target="https://support.neoxam.com/browse/IMPRESS-27251" TargetMode="External"/><Relationship Id="rId12" Type="http://schemas.openxmlformats.org/officeDocument/2006/relationships/hyperlink" Target="https://support.neoxam.com/browse/IMPRESS-27115" TargetMode="External"/><Relationship Id="rId17" Type="http://schemas.openxmlformats.org/officeDocument/2006/relationships/hyperlink" Target="https://support.neoxam.com/browse/IMPRESS-26566" TargetMode="External"/><Relationship Id="rId2" Type="http://schemas.openxmlformats.org/officeDocument/2006/relationships/hyperlink" Target="https://support.neoxam.com/browse/IMPRESS-27680" TargetMode="External"/><Relationship Id="rId16" Type="http://schemas.openxmlformats.org/officeDocument/2006/relationships/hyperlink" Target="https://support.neoxam.com/browse/IMPRESS-26660" TargetMode="External"/><Relationship Id="rId1" Type="http://schemas.openxmlformats.org/officeDocument/2006/relationships/hyperlink" Target="https://support.neoxam.com/browse/IMPRESS-27716" TargetMode="External"/><Relationship Id="rId6" Type="http://schemas.openxmlformats.org/officeDocument/2006/relationships/hyperlink" Target="https://support.neoxam.com/browse/IMPRESS-27259" TargetMode="External"/><Relationship Id="rId11" Type="http://schemas.openxmlformats.org/officeDocument/2006/relationships/hyperlink" Target="https://support.neoxam.com/browse/IMPRESS-27116" TargetMode="External"/><Relationship Id="rId5" Type="http://schemas.openxmlformats.org/officeDocument/2006/relationships/hyperlink" Target="https://support.neoxam.com/browse/IMPRESS-27333" TargetMode="External"/><Relationship Id="rId15" Type="http://schemas.openxmlformats.org/officeDocument/2006/relationships/hyperlink" Target="https://support.neoxam.com/browse/IMPRESS-26711" TargetMode="External"/><Relationship Id="rId10" Type="http://schemas.openxmlformats.org/officeDocument/2006/relationships/hyperlink" Target="https://support.neoxam.com/browse/IMPRESS-27139" TargetMode="External"/><Relationship Id="rId19" Type="http://schemas.openxmlformats.org/officeDocument/2006/relationships/hyperlink" Target="https://support.neoxam.com/browse/IMPRESS-19628" TargetMode="External"/><Relationship Id="rId4" Type="http://schemas.openxmlformats.org/officeDocument/2006/relationships/hyperlink" Target="https://support.neoxam.com/browse/IMPRESS-27404" TargetMode="External"/><Relationship Id="rId9" Type="http://schemas.openxmlformats.org/officeDocument/2006/relationships/hyperlink" Target="https://support.neoxam.com/browse/IMPRESS-27230" TargetMode="External"/><Relationship Id="rId14" Type="http://schemas.openxmlformats.org/officeDocument/2006/relationships/hyperlink" Target="https://support.neoxam.com/browse/IMPRESS-27065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nx-impress-newdump-320qa.bams.corp/" TargetMode="External"/><Relationship Id="rId2" Type="http://schemas.openxmlformats.org/officeDocument/2006/relationships/hyperlink" Target="http://nx-impress-newdump-320qa.bams.corp/" TargetMode="External"/><Relationship Id="rId1" Type="http://schemas.openxmlformats.org/officeDocument/2006/relationships/hyperlink" Target="http://nx-impress-newdump-320qa.bams.cor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58A1-EF09-45D2-8E8D-D6FF8D3D0313}">
  <dimension ref="A1:L27"/>
  <sheetViews>
    <sheetView workbookViewId="0">
      <selection activeCell="K27" sqref="K27"/>
    </sheetView>
  </sheetViews>
  <sheetFormatPr defaultColWidth="8.7109375" defaultRowHeight="14.45"/>
  <cols>
    <col min="1" max="1" width="15" customWidth="1"/>
    <col min="2" max="2" width="50.140625" customWidth="1"/>
    <col min="4" max="4" width="28.7109375" customWidth="1"/>
    <col min="9" max="9" width="40.140625" customWidth="1"/>
    <col min="10" max="10" width="30.28515625" customWidth="1"/>
    <col min="11" max="11" width="22.85546875" customWidth="1"/>
  </cols>
  <sheetData>
    <row r="1" spans="1:11">
      <c r="A1" s="46">
        <v>27748</v>
      </c>
      <c r="B1" t="s">
        <v>0</v>
      </c>
      <c r="C1" t="s">
        <v>1</v>
      </c>
      <c r="D1" t="s">
        <v>2</v>
      </c>
    </row>
    <row r="2" spans="1:11">
      <c r="A2">
        <v>27853</v>
      </c>
      <c r="B2" t="s">
        <v>3</v>
      </c>
      <c r="C2" t="s">
        <v>4</v>
      </c>
      <c r="I2" s="67" t="s">
        <v>5</v>
      </c>
      <c r="J2" s="67" t="s">
        <v>6</v>
      </c>
      <c r="K2" s="67" t="s">
        <v>7</v>
      </c>
    </row>
    <row r="3" spans="1:11" ht="29.1">
      <c r="H3" s="67" t="s">
        <v>8</v>
      </c>
      <c r="I3" t="s">
        <v>9</v>
      </c>
      <c r="J3" s="60" t="s">
        <v>10</v>
      </c>
      <c r="K3" t="s">
        <v>11</v>
      </c>
    </row>
    <row r="4" spans="1:11">
      <c r="H4" s="67" t="s">
        <v>12</v>
      </c>
      <c r="I4" t="s">
        <v>13</v>
      </c>
      <c r="J4" s="60"/>
      <c r="K4" t="s">
        <v>14</v>
      </c>
    </row>
    <row r="5" spans="1:11">
      <c r="H5" s="67" t="s">
        <v>15</v>
      </c>
      <c r="I5" t="s">
        <v>16</v>
      </c>
      <c r="J5" s="60"/>
      <c r="K5" t="s">
        <v>17</v>
      </c>
    </row>
    <row r="6" spans="1:11">
      <c r="H6" s="67" t="s">
        <v>18</v>
      </c>
      <c r="I6" t="s">
        <v>19</v>
      </c>
      <c r="J6" s="60"/>
      <c r="K6" t="s">
        <v>17</v>
      </c>
    </row>
    <row r="16" spans="1:11">
      <c r="A16" t="s">
        <v>20</v>
      </c>
      <c r="I16" t="s">
        <v>21</v>
      </c>
    </row>
    <row r="17" spans="2:12" ht="29.1">
      <c r="B17" s="60" t="s">
        <v>22</v>
      </c>
      <c r="I17" t="s">
        <v>23</v>
      </c>
    </row>
    <row r="18" spans="2:12">
      <c r="I18" s="60">
        <v>504</v>
      </c>
    </row>
    <row r="19" spans="2:12">
      <c r="B19" t="s">
        <v>24</v>
      </c>
      <c r="I19" t="s">
        <v>25</v>
      </c>
    </row>
    <row r="21" spans="2:12">
      <c r="B21" t="s">
        <v>26</v>
      </c>
    </row>
    <row r="22" spans="2:12">
      <c r="B22" t="s">
        <v>27</v>
      </c>
      <c r="C22" s="65" t="s">
        <v>28</v>
      </c>
    </row>
    <row r="23" spans="2:12">
      <c r="B23" t="s">
        <v>29</v>
      </c>
    </row>
    <row r="25" spans="2:12">
      <c r="B25" t="s">
        <v>30</v>
      </c>
      <c r="J25">
        <v>10</v>
      </c>
      <c r="K25">
        <v>40</v>
      </c>
    </row>
    <row r="26" spans="2:12">
      <c r="J26">
        <v>2</v>
      </c>
      <c r="K26">
        <v>57</v>
      </c>
    </row>
    <row r="27" spans="2:12">
      <c r="B27" s="68"/>
      <c r="J27">
        <f>SUM(J25:J26)</f>
        <v>12</v>
      </c>
      <c r="K27">
        <f>SUM(K25:K26)</f>
        <v>97</v>
      </c>
      <c r="L27" s="66">
        <f>J27/K27</f>
        <v>0.12371134020618557</v>
      </c>
    </row>
  </sheetData>
  <hyperlinks>
    <hyperlink ref="C22" r:id="rId1" location="/" xr:uid="{22BC1F3D-1F0A-4B8A-B8E4-35FDAAA4512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552A-A326-49C5-94B9-E3B7D2F20A4F}">
  <sheetPr>
    <tabColor theme="5" tint="-0.249977111117893"/>
  </sheetPr>
  <dimension ref="A1:AE52"/>
  <sheetViews>
    <sheetView topLeftCell="A7" workbookViewId="0">
      <selection activeCell="E18" sqref="E18"/>
    </sheetView>
  </sheetViews>
  <sheetFormatPr defaultColWidth="8.7109375" defaultRowHeight="8.1"/>
  <cols>
    <col min="1" max="1" width="27.28515625" style="2" customWidth="1"/>
    <col min="2" max="2" width="18.5703125" style="2" customWidth="1"/>
    <col min="3" max="3" width="22.85546875" style="2" customWidth="1"/>
    <col min="4" max="4" width="11.42578125" style="2" bestFit="1" customWidth="1"/>
    <col min="5" max="5" width="86.140625" style="2" customWidth="1"/>
    <col min="6" max="6" width="12.140625" style="2" bestFit="1" customWidth="1"/>
    <col min="7" max="7" width="18.85546875" style="2" bestFit="1" customWidth="1"/>
    <col min="8" max="8" width="18.5703125" style="2" bestFit="1" customWidth="1"/>
    <col min="9" max="9" width="17.7109375" style="2" customWidth="1"/>
    <col min="10" max="10" width="19.42578125" style="2" bestFit="1" customWidth="1"/>
    <col min="11" max="11" width="34.85546875" style="2" bestFit="1" customWidth="1"/>
    <col min="12" max="12" width="21.85546875" style="2" bestFit="1" customWidth="1"/>
    <col min="13" max="13" width="15.5703125" style="2" bestFit="1" customWidth="1"/>
    <col min="14" max="14" width="34.85546875" style="2" bestFit="1" customWidth="1"/>
    <col min="15" max="15" width="12.85546875" style="2" bestFit="1" customWidth="1"/>
    <col min="16" max="16" width="17.85546875" style="2" bestFit="1" customWidth="1"/>
    <col min="17" max="17" width="34.85546875" style="2" bestFit="1" customWidth="1"/>
    <col min="18" max="18" width="12" style="2" bestFit="1" customWidth="1"/>
    <col min="19" max="19" width="34.85546875" style="2" bestFit="1" customWidth="1"/>
    <col min="20" max="16384" width="8.7109375" style="2"/>
  </cols>
  <sheetData>
    <row r="1" spans="1:19" ht="14.1">
      <c r="A1" s="1" t="s">
        <v>6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</row>
    <row r="2" spans="1:19" ht="14.45">
      <c r="A2" s="3" t="s">
        <v>49</v>
      </c>
      <c r="B2" s="3" t="s">
        <v>50</v>
      </c>
      <c r="C2" s="4" t="s">
        <v>51</v>
      </c>
      <c r="D2" s="5" t="s">
        <v>52</v>
      </c>
      <c r="E2" s="3" t="s">
        <v>53</v>
      </c>
      <c r="F2" s="3" t="s">
        <v>54</v>
      </c>
      <c r="G2" s="5" t="s">
        <v>55</v>
      </c>
      <c r="H2" s="3" t="s">
        <v>56</v>
      </c>
      <c r="I2" s="3" t="s">
        <v>57</v>
      </c>
      <c r="J2" s="3" t="s">
        <v>58</v>
      </c>
      <c r="K2" s="3" t="s">
        <v>59</v>
      </c>
      <c r="L2" s="3" t="s">
        <v>60</v>
      </c>
      <c r="M2" s="3"/>
      <c r="N2" s="3"/>
      <c r="O2" s="3"/>
      <c r="P2" s="6">
        <v>46112.78125</v>
      </c>
      <c r="Q2" s="3" t="s">
        <v>61</v>
      </c>
      <c r="R2" s="3"/>
      <c r="S2" s="3"/>
    </row>
    <row r="3" spans="1:19" s="58" customFormat="1" ht="14.45">
      <c r="A3" s="54" t="s">
        <v>62</v>
      </c>
      <c r="B3" s="54" t="s">
        <v>50</v>
      </c>
      <c r="C3" s="55" t="s">
        <v>63</v>
      </c>
      <c r="D3" s="56" t="s">
        <v>52</v>
      </c>
      <c r="E3" s="54" t="s">
        <v>64</v>
      </c>
      <c r="F3" s="54" t="s">
        <v>65</v>
      </c>
      <c r="G3" s="56" t="s">
        <v>55</v>
      </c>
      <c r="H3" s="54" t="s">
        <v>66</v>
      </c>
      <c r="I3" s="54" t="s">
        <v>67</v>
      </c>
      <c r="J3" s="54" t="s">
        <v>68</v>
      </c>
      <c r="K3" s="54" t="s">
        <v>67</v>
      </c>
      <c r="L3" s="54"/>
      <c r="M3" s="54"/>
      <c r="N3" s="54" t="s">
        <v>69</v>
      </c>
      <c r="O3" s="54"/>
      <c r="P3" s="57">
        <v>46112.706250000003</v>
      </c>
      <c r="Q3" s="54"/>
      <c r="R3" s="54"/>
      <c r="S3" s="54"/>
    </row>
    <row r="4" spans="1:19" ht="27.95">
      <c r="A4" s="3" t="s">
        <v>70</v>
      </c>
      <c r="B4" s="3" t="s">
        <v>71</v>
      </c>
      <c r="C4" s="4" t="s">
        <v>72</v>
      </c>
      <c r="D4" s="5" t="s">
        <v>52</v>
      </c>
      <c r="E4" s="3" t="s">
        <v>73</v>
      </c>
      <c r="F4" s="3"/>
      <c r="G4" s="5" t="s">
        <v>74</v>
      </c>
      <c r="H4" s="3" t="s">
        <v>66</v>
      </c>
      <c r="I4" s="3" t="s">
        <v>67</v>
      </c>
      <c r="J4" s="3" t="s">
        <v>66</v>
      </c>
      <c r="K4" s="3" t="s">
        <v>67</v>
      </c>
      <c r="L4" s="3"/>
      <c r="M4" s="3"/>
      <c r="N4" s="3" t="s">
        <v>69</v>
      </c>
      <c r="O4" s="3"/>
      <c r="P4" s="6">
        <v>46111.837500000001</v>
      </c>
      <c r="Q4" s="3" t="s">
        <v>75</v>
      </c>
      <c r="R4" s="3"/>
      <c r="S4" s="3"/>
    </row>
    <row r="5" spans="1:19" ht="27.95">
      <c r="A5" s="41" t="s">
        <v>76</v>
      </c>
      <c r="B5" s="41" t="s">
        <v>50</v>
      </c>
      <c r="C5" s="42" t="s">
        <v>77</v>
      </c>
      <c r="D5" s="43" t="s">
        <v>52</v>
      </c>
      <c r="E5" s="41" t="s">
        <v>78</v>
      </c>
      <c r="F5" s="41" t="s">
        <v>65</v>
      </c>
      <c r="G5" s="43" t="s">
        <v>79</v>
      </c>
      <c r="H5" s="41" t="s">
        <v>66</v>
      </c>
      <c r="I5" s="41" t="s">
        <v>80</v>
      </c>
      <c r="J5" s="41" t="s">
        <v>81</v>
      </c>
      <c r="K5" s="41" t="s">
        <v>67</v>
      </c>
      <c r="L5" s="41"/>
      <c r="M5" s="41"/>
      <c r="N5" s="41" t="s">
        <v>82</v>
      </c>
      <c r="O5" s="41"/>
      <c r="P5" s="44">
        <v>46111.598611111112</v>
      </c>
      <c r="Q5" s="41" t="s">
        <v>83</v>
      </c>
      <c r="R5" s="41">
        <v>21600</v>
      </c>
      <c r="S5" s="41"/>
    </row>
    <row r="6" spans="1:19" s="45" customFormat="1" ht="27.95">
      <c r="A6" s="41" t="s">
        <v>84</v>
      </c>
      <c r="B6" s="41" t="s">
        <v>50</v>
      </c>
      <c r="C6" s="42" t="s">
        <v>85</v>
      </c>
      <c r="D6" s="43" t="s">
        <v>52</v>
      </c>
      <c r="E6" s="41" t="s">
        <v>86</v>
      </c>
      <c r="F6" s="41" t="s">
        <v>65</v>
      </c>
      <c r="G6" s="43" t="s">
        <v>79</v>
      </c>
      <c r="H6" s="41" t="s">
        <v>66</v>
      </c>
      <c r="I6" s="41" t="s">
        <v>67</v>
      </c>
      <c r="J6" s="41" t="s">
        <v>81</v>
      </c>
      <c r="K6" s="41" t="s">
        <v>67</v>
      </c>
      <c r="L6" s="41"/>
      <c r="M6" s="41"/>
      <c r="N6" s="41" t="s">
        <v>82</v>
      </c>
      <c r="O6" s="41"/>
      <c r="P6" s="44">
        <v>46108.451388888891</v>
      </c>
      <c r="Q6" s="41" t="s">
        <v>87</v>
      </c>
      <c r="R6" s="41">
        <v>18000</v>
      </c>
      <c r="S6" s="41"/>
    </row>
    <row r="7" spans="1:19" s="58" customFormat="1" ht="30.75" customHeight="1">
      <c r="A7" s="54" t="s">
        <v>88</v>
      </c>
      <c r="B7" s="54" t="s">
        <v>89</v>
      </c>
      <c r="C7" s="55" t="s">
        <v>90</v>
      </c>
      <c r="D7" s="56" t="s">
        <v>52</v>
      </c>
      <c r="E7" s="54" t="s">
        <v>91</v>
      </c>
      <c r="F7" s="54" t="s">
        <v>54</v>
      </c>
      <c r="G7" s="56" t="s">
        <v>92</v>
      </c>
      <c r="H7" s="54" t="s">
        <v>93</v>
      </c>
      <c r="I7" s="54" t="s">
        <v>67</v>
      </c>
      <c r="J7" s="54" t="s">
        <v>66</v>
      </c>
      <c r="K7" s="54" t="s">
        <v>67</v>
      </c>
      <c r="L7" s="54"/>
      <c r="M7" s="54"/>
      <c r="N7" s="54" t="s">
        <v>69</v>
      </c>
      <c r="O7" s="54"/>
      <c r="P7" s="57">
        <v>46107.42083333333</v>
      </c>
      <c r="Q7" s="54" t="s">
        <v>72</v>
      </c>
      <c r="R7" s="54">
        <v>36000</v>
      </c>
      <c r="S7" s="54"/>
    </row>
    <row r="8" spans="1:19" s="45" customFormat="1" ht="14.45">
      <c r="A8" s="41" t="s">
        <v>94</v>
      </c>
      <c r="B8" s="41" t="s">
        <v>50</v>
      </c>
      <c r="C8" s="42" t="s">
        <v>95</v>
      </c>
      <c r="D8" s="43" t="s">
        <v>52</v>
      </c>
      <c r="E8" s="41" t="s">
        <v>96</v>
      </c>
      <c r="F8" s="41" t="s">
        <v>54</v>
      </c>
      <c r="G8" s="43" t="s">
        <v>97</v>
      </c>
      <c r="H8" s="41" t="s">
        <v>66</v>
      </c>
      <c r="I8" s="41" t="s">
        <v>67</v>
      </c>
      <c r="J8" s="41" t="s">
        <v>66</v>
      </c>
      <c r="K8" s="41" t="s">
        <v>67</v>
      </c>
      <c r="L8" s="41"/>
      <c r="M8" s="41"/>
      <c r="N8" s="41" t="s">
        <v>69</v>
      </c>
      <c r="O8" s="41"/>
      <c r="P8" s="44">
        <v>46105.743750000001</v>
      </c>
      <c r="Q8" s="41" t="s">
        <v>98</v>
      </c>
      <c r="R8" s="41"/>
      <c r="S8" s="41"/>
    </row>
    <row r="9" spans="1:19" ht="69.95">
      <c r="A9" s="47" t="s">
        <v>99</v>
      </c>
      <c r="B9" s="47" t="s">
        <v>100</v>
      </c>
      <c r="C9" s="48" t="s">
        <v>101</v>
      </c>
      <c r="D9" s="49" t="s">
        <v>52</v>
      </c>
      <c r="E9" s="47" t="s">
        <v>102</v>
      </c>
      <c r="F9" s="47" t="s">
        <v>65</v>
      </c>
      <c r="G9" s="49" t="s">
        <v>97</v>
      </c>
      <c r="H9" s="47" t="s">
        <v>93</v>
      </c>
      <c r="I9" s="47" t="s">
        <v>67</v>
      </c>
      <c r="J9" s="47" t="s">
        <v>103</v>
      </c>
      <c r="K9" s="47" t="s">
        <v>67</v>
      </c>
      <c r="L9" s="47"/>
      <c r="M9" s="47"/>
      <c r="N9" s="47" t="s">
        <v>104</v>
      </c>
      <c r="O9" s="47"/>
      <c r="P9" s="50">
        <v>46105.347916666666</v>
      </c>
      <c r="Q9" s="47"/>
      <c r="R9" s="47"/>
      <c r="S9" s="47"/>
    </row>
    <row r="10" spans="1:19" ht="14.45">
      <c r="A10" s="41" t="s">
        <v>84</v>
      </c>
      <c r="B10" s="41" t="s">
        <v>100</v>
      </c>
      <c r="C10" s="42" t="s">
        <v>105</v>
      </c>
      <c r="D10" s="43" t="s">
        <v>52</v>
      </c>
      <c r="E10" s="41" t="s">
        <v>106</v>
      </c>
      <c r="F10" s="41" t="s">
        <v>65</v>
      </c>
      <c r="G10" s="43" t="s">
        <v>55</v>
      </c>
      <c r="H10" s="41" t="s">
        <v>93</v>
      </c>
      <c r="I10" s="41" t="s">
        <v>67</v>
      </c>
      <c r="J10" s="41" t="s">
        <v>103</v>
      </c>
      <c r="K10" s="41" t="s">
        <v>67</v>
      </c>
      <c r="L10" s="41"/>
      <c r="M10" s="41"/>
      <c r="N10" s="41" t="s">
        <v>69</v>
      </c>
      <c r="O10" s="41"/>
      <c r="P10" s="44">
        <v>46100.723611111112</v>
      </c>
      <c r="Q10" s="41" t="s">
        <v>107</v>
      </c>
      <c r="R10" s="41"/>
      <c r="S10" s="41"/>
    </row>
    <row r="11" spans="1:19" s="58" customFormat="1" ht="27.95">
      <c r="A11" s="54" t="s">
        <v>108</v>
      </c>
      <c r="B11" s="54" t="s">
        <v>50</v>
      </c>
      <c r="C11" s="55" t="s">
        <v>109</v>
      </c>
      <c r="D11" s="56" t="s">
        <v>52</v>
      </c>
      <c r="E11" s="54" t="s">
        <v>110</v>
      </c>
      <c r="F11" s="54" t="s">
        <v>65</v>
      </c>
      <c r="G11" s="56" t="s">
        <v>92</v>
      </c>
      <c r="H11" s="54" t="s">
        <v>56</v>
      </c>
      <c r="I11" s="54" t="s">
        <v>67</v>
      </c>
      <c r="J11" s="54" t="s">
        <v>68</v>
      </c>
      <c r="K11" s="54" t="s">
        <v>67</v>
      </c>
      <c r="L11" s="54"/>
      <c r="M11" s="54"/>
      <c r="N11" s="54" t="s">
        <v>69</v>
      </c>
      <c r="O11" s="54"/>
      <c r="P11" s="57">
        <v>46099.634027777778</v>
      </c>
      <c r="Q11" s="54" t="s">
        <v>111</v>
      </c>
      <c r="R11" s="54"/>
      <c r="S11" s="54"/>
    </row>
    <row r="12" spans="1:19" ht="27.95">
      <c r="A12" s="41" t="s">
        <v>13</v>
      </c>
      <c r="B12" s="41" t="s">
        <v>100</v>
      </c>
      <c r="C12" s="42" t="s">
        <v>112</v>
      </c>
      <c r="D12" s="43" t="s">
        <v>52</v>
      </c>
      <c r="E12" s="41" t="s">
        <v>113</v>
      </c>
      <c r="F12" s="41" t="s">
        <v>54</v>
      </c>
      <c r="G12" s="43" t="s">
        <v>79</v>
      </c>
      <c r="H12" s="41" t="s">
        <v>93</v>
      </c>
      <c r="I12" s="41" t="s">
        <v>67</v>
      </c>
      <c r="J12" s="41" t="s">
        <v>114</v>
      </c>
      <c r="K12" s="41" t="s">
        <v>67</v>
      </c>
      <c r="L12" s="41"/>
      <c r="M12" s="41"/>
      <c r="N12" s="41" t="s">
        <v>82</v>
      </c>
      <c r="O12" s="41"/>
      <c r="P12" s="44">
        <v>46098.425694444442</v>
      </c>
      <c r="Q12" s="41" t="s">
        <v>115</v>
      </c>
      <c r="R12" s="41">
        <v>113400</v>
      </c>
      <c r="S12" s="41"/>
    </row>
    <row r="13" spans="1:19" s="45" customFormat="1" ht="27.95">
      <c r="A13" s="41" t="s">
        <v>116</v>
      </c>
      <c r="B13" s="41" t="s">
        <v>50</v>
      </c>
      <c r="C13" s="42" t="s">
        <v>117</v>
      </c>
      <c r="D13" s="43" t="s">
        <v>52</v>
      </c>
      <c r="E13" s="41" t="s">
        <v>118</v>
      </c>
      <c r="F13" s="41" t="s">
        <v>65</v>
      </c>
      <c r="G13" s="43" t="s">
        <v>79</v>
      </c>
      <c r="H13" s="41" t="s">
        <v>119</v>
      </c>
      <c r="I13" s="41" t="s">
        <v>67</v>
      </c>
      <c r="J13" s="41" t="s">
        <v>81</v>
      </c>
      <c r="K13" s="41" t="s">
        <v>67</v>
      </c>
      <c r="L13" s="41" t="s">
        <v>120</v>
      </c>
      <c r="M13" s="41"/>
      <c r="N13" s="41" t="s">
        <v>82</v>
      </c>
      <c r="O13" s="41"/>
      <c r="P13" s="44">
        <v>46097.661805555559</v>
      </c>
      <c r="Q13" s="41" t="s">
        <v>121</v>
      </c>
      <c r="R13" s="41">
        <v>21600</v>
      </c>
      <c r="S13" s="41"/>
    </row>
    <row r="14" spans="1:19" s="58" customFormat="1" ht="14.45">
      <c r="A14" s="54" t="s">
        <v>70</v>
      </c>
      <c r="B14" s="54" t="s">
        <v>71</v>
      </c>
      <c r="C14" s="55" t="s">
        <v>122</v>
      </c>
      <c r="D14" s="56" t="s">
        <v>52</v>
      </c>
      <c r="E14" s="54" t="s">
        <v>123</v>
      </c>
      <c r="F14" s="54" t="s">
        <v>65</v>
      </c>
      <c r="G14" s="56" t="s">
        <v>74</v>
      </c>
      <c r="H14" s="54" t="s">
        <v>93</v>
      </c>
      <c r="I14" s="54" t="s">
        <v>67</v>
      </c>
      <c r="J14" s="54" t="s">
        <v>114</v>
      </c>
      <c r="K14" s="54" t="s">
        <v>67</v>
      </c>
      <c r="L14" s="54" t="s">
        <v>124</v>
      </c>
      <c r="M14" s="54"/>
      <c r="N14" s="54" t="s">
        <v>69</v>
      </c>
      <c r="O14" s="54"/>
      <c r="P14" s="57">
        <v>46097.5</v>
      </c>
      <c r="Q14" s="54" t="s">
        <v>125</v>
      </c>
      <c r="R14" s="54">
        <v>83700</v>
      </c>
      <c r="S14" s="54"/>
    </row>
    <row r="15" spans="1:19" ht="27.95">
      <c r="A15" s="41" t="s">
        <v>13</v>
      </c>
      <c r="B15" s="41" t="s">
        <v>50</v>
      </c>
      <c r="C15" s="42" t="s">
        <v>126</v>
      </c>
      <c r="D15" s="43" t="s">
        <v>52</v>
      </c>
      <c r="E15" s="41" t="s">
        <v>127</v>
      </c>
      <c r="F15" s="41" t="s">
        <v>65</v>
      </c>
      <c r="G15" s="43" t="s">
        <v>79</v>
      </c>
      <c r="H15" s="41" t="s">
        <v>128</v>
      </c>
      <c r="I15" s="41" t="s">
        <v>67</v>
      </c>
      <c r="J15" s="41" t="s">
        <v>129</v>
      </c>
      <c r="K15" s="41" t="s">
        <v>67</v>
      </c>
      <c r="L15" s="41"/>
      <c r="M15" s="41"/>
      <c r="N15" s="41"/>
      <c r="O15" s="41"/>
      <c r="P15" s="44">
        <v>46094.714583333334</v>
      </c>
      <c r="Q15" s="41"/>
      <c r="R15" s="41">
        <v>3600</v>
      </c>
      <c r="S15" s="41"/>
    </row>
    <row r="16" spans="1:19" ht="30" customHeight="1">
      <c r="A16" s="41" t="s">
        <v>84</v>
      </c>
      <c r="B16" s="41" t="s">
        <v>89</v>
      </c>
      <c r="C16" s="42" t="s">
        <v>130</v>
      </c>
      <c r="D16" s="43" t="s">
        <v>52</v>
      </c>
      <c r="E16" s="41" t="s">
        <v>131</v>
      </c>
      <c r="F16" s="41" t="s">
        <v>65</v>
      </c>
      <c r="G16" s="43" t="s">
        <v>55</v>
      </c>
      <c r="H16" s="41" t="s">
        <v>93</v>
      </c>
      <c r="I16" s="41" t="s">
        <v>67</v>
      </c>
      <c r="J16" s="41" t="s">
        <v>132</v>
      </c>
      <c r="K16" s="41" t="s">
        <v>67</v>
      </c>
      <c r="L16" s="41"/>
      <c r="M16" s="41"/>
      <c r="N16" s="41" t="s">
        <v>69</v>
      </c>
      <c r="O16" s="41"/>
      <c r="P16" s="44">
        <v>46093.62777777778</v>
      </c>
      <c r="Q16" s="41" t="s">
        <v>133</v>
      </c>
      <c r="R16" s="41">
        <v>115200</v>
      </c>
      <c r="S16" s="41"/>
    </row>
    <row r="17" spans="1:31" ht="27.95">
      <c r="A17" s="3" t="s">
        <v>134</v>
      </c>
      <c r="B17" s="3" t="s">
        <v>135</v>
      </c>
      <c r="C17" s="4" t="s">
        <v>136</v>
      </c>
      <c r="D17" s="5" t="s">
        <v>137</v>
      </c>
      <c r="E17" s="3" t="s">
        <v>138</v>
      </c>
      <c r="F17" s="3" t="s">
        <v>65</v>
      </c>
      <c r="G17" s="5" t="s">
        <v>97</v>
      </c>
      <c r="H17" s="3" t="s">
        <v>129</v>
      </c>
      <c r="I17" s="3" t="s">
        <v>139</v>
      </c>
      <c r="J17" s="3" t="s">
        <v>129</v>
      </c>
      <c r="K17" s="3" t="s">
        <v>140</v>
      </c>
      <c r="L17" s="3" t="s">
        <v>141</v>
      </c>
      <c r="M17" s="3"/>
      <c r="N17" s="3" t="s">
        <v>142</v>
      </c>
      <c r="O17" s="3"/>
      <c r="P17" s="6">
        <v>46092.9375</v>
      </c>
      <c r="Q17" s="3" t="s">
        <v>143</v>
      </c>
      <c r="R17" s="3">
        <v>7200</v>
      </c>
      <c r="S17" s="3" t="s">
        <v>144</v>
      </c>
    </row>
    <row r="18" spans="1:31" s="69" customFormat="1" ht="27.95">
      <c r="A18" s="47" t="s">
        <v>145</v>
      </c>
      <c r="B18" s="47" t="s">
        <v>89</v>
      </c>
      <c r="C18" s="48" t="s">
        <v>146</v>
      </c>
      <c r="D18" s="49" t="s">
        <v>147</v>
      </c>
      <c r="E18" s="47" t="s">
        <v>148</v>
      </c>
      <c r="F18" s="47"/>
      <c r="G18" s="49" t="s">
        <v>79</v>
      </c>
      <c r="H18" s="47" t="s">
        <v>149</v>
      </c>
      <c r="I18" s="47" t="s">
        <v>17</v>
      </c>
      <c r="J18" s="47" t="s">
        <v>132</v>
      </c>
      <c r="K18" s="47" t="s">
        <v>67</v>
      </c>
      <c r="L18" s="47"/>
      <c r="M18" s="47"/>
      <c r="N18" s="47" t="s">
        <v>69</v>
      </c>
      <c r="O18" s="47"/>
      <c r="P18" s="50">
        <v>46087.384027777778</v>
      </c>
      <c r="Q18" s="47" t="s">
        <v>150</v>
      </c>
      <c r="R18" s="47">
        <v>62100</v>
      </c>
      <c r="S18" s="47"/>
    </row>
    <row r="19" spans="1:31" ht="27.95">
      <c r="A19" s="47" t="s">
        <v>151</v>
      </c>
      <c r="B19" s="47" t="s">
        <v>100</v>
      </c>
      <c r="C19" s="48" t="s">
        <v>152</v>
      </c>
      <c r="D19" s="49" t="s">
        <v>137</v>
      </c>
      <c r="E19" s="47" t="s">
        <v>153</v>
      </c>
      <c r="F19" s="47" t="s">
        <v>54</v>
      </c>
      <c r="G19" s="49" t="s">
        <v>97</v>
      </c>
      <c r="H19" s="47" t="s">
        <v>129</v>
      </c>
      <c r="I19" s="47" t="s">
        <v>139</v>
      </c>
      <c r="J19" s="47" t="s">
        <v>129</v>
      </c>
      <c r="K19" s="47" t="s">
        <v>154</v>
      </c>
      <c r="L19" s="47" t="s">
        <v>155</v>
      </c>
      <c r="M19" s="47"/>
      <c r="N19" s="47" t="s">
        <v>142</v>
      </c>
      <c r="O19" s="47"/>
      <c r="P19" s="50">
        <v>46086.782638888886</v>
      </c>
      <c r="Q19" s="47"/>
      <c r="R19" s="47">
        <v>14400</v>
      </c>
      <c r="S19" s="47" t="s">
        <v>144</v>
      </c>
    </row>
    <row r="20" spans="1:31" ht="42">
      <c r="A20" s="3" t="s">
        <v>156</v>
      </c>
      <c r="B20" s="3" t="s">
        <v>157</v>
      </c>
      <c r="C20" s="4" t="s">
        <v>158</v>
      </c>
      <c r="D20" s="5" t="s">
        <v>147</v>
      </c>
      <c r="E20" s="3" t="s">
        <v>159</v>
      </c>
      <c r="F20" s="3"/>
      <c r="G20" s="5" t="s">
        <v>97</v>
      </c>
      <c r="H20" s="3" t="s">
        <v>149</v>
      </c>
      <c r="I20" s="3" t="s">
        <v>160</v>
      </c>
      <c r="J20" s="3" t="s">
        <v>149</v>
      </c>
      <c r="K20" s="3" t="s">
        <v>67</v>
      </c>
      <c r="L20" s="3"/>
      <c r="M20" s="3"/>
      <c r="N20" s="3" t="s">
        <v>69</v>
      </c>
      <c r="O20" s="3"/>
      <c r="P20" s="6">
        <v>46083.424305555556</v>
      </c>
      <c r="Q20" s="3" t="s">
        <v>161</v>
      </c>
      <c r="R20" s="3">
        <v>10800</v>
      </c>
      <c r="S20" s="3" t="s">
        <v>162</v>
      </c>
      <c r="AC20" s="2" t="s">
        <v>163</v>
      </c>
      <c r="AE20" s="2" t="s">
        <v>164</v>
      </c>
    </row>
    <row r="21" spans="1:31" ht="27.95">
      <c r="A21" s="3" t="s">
        <v>165</v>
      </c>
      <c r="B21" s="3" t="s">
        <v>89</v>
      </c>
      <c r="C21" s="4" t="s">
        <v>166</v>
      </c>
      <c r="D21" s="5" t="s">
        <v>52</v>
      </c>
      <c r="E21" s="3" t="s">
        <v>167</v>
      </c>
      <c r="F21" s="3" t="s">
        <v>65</v>
      </c>
      <c r="G21" s="5" t="s">
        <v>79</v>
      </c>
      <c r="H21" s="3" t="s">
        <v>149</v>
      </c>
      <c r="I21" s="3" t="s">
        <v>160</v>
      </c>
      <c r="J21" s="3" t="s">
        <v>132</v>
      </c>
      <c r="K21" s="3" t="s">
        <v>67</v>
      </c>
      <c r="L21" s="3"/>
      <c r="M21" s="3"/>
      <c r="N21" s="3" t="s">
        <v>69</v>
      </c>
      <c r="O21" s="3"/>
      <c r="P21" s="3" t="s">
        <v>168</v>
      </c>
      <c r="Q21" s="3" t="s">
        <v>169</v>
      </c>
      <c r="R21" s="3">
        <v>7200</v>
      </c>
      <c r="S21" s="3" t="s">
        <v>170</v>
      </c>
    </row>
    <row r="22" spans="1:31" s="45" customFormat="1" ht="42">
      <c r="A22" s="41" t="s">
        <v>165</v>
      </c>
      <c r="B22" s="41" t="s">
        <v>71</v>
      </c>
      <c r="C22" s="42" t="s">
        <v>171</v>
      </c>
      <c r="D22" s="43" t="s">
        <v>137</v>
      </c>
      <c r="E22" s="41" t="s">
        <v>172</v>
      </c>
      <c r="F22" s="41" t="s">
        <v>65</v>
      </c>
      <c r="G22" s="43" t="s">
        <v>79</v>
      </c>
      <c r="H22" s="41" t="s">
        <v>149</v>
      </c>
      <c r="I22" s="41" t="s">
        <v>173</v>
      </c>
      <c r="J22" s="41" t="s">
        <v>114</v>
      </c>
      <c r="K22" s="41" t="s">
        <v>67</v>
      </c>
      <c r="L22" s="41" t="s">
        <v>174</v>
      </c>
      <c r="M22" s="41"/>
      <c r="N22" s="41" t="s">
        <v>69</v>
      </c>
      <c r="O22" s="41"/>
      <c r="P22" s="41" t="s">
        <v>175</v>
      </c>
      <c r="Q22" s="41" t="s">
        <v>176</v>
      </c>
      <c r="R22" s="41">
        <v>43200</v>
      </c>
      <c r="S22" s="41" t="s">
        <v>177</v>
      </c>
    </row>
    <row r="23" spans="1:31" ht="42">
      <c r="A23" s="41" t="s">
        <v>178</v>
      </c>
      <c r="B23" s="41" t="s">
        <v>50</v>
      </c>
      <c r="C23" s="42" t="s">
        <v>161</v>
      </c>
      <c r="D23" s="43" t="s">
        <v>52</v>
      </c>
      <c r="E23" s="41" t="s">
        <v>179</v>
      </c>
      <c r="F23" s="41" t="s">
        <v>65</v>
      </c>
      <c r="G23" s="43" t="s">
        <v>55</v>
      </c>
      <c r="H23" s="41" t="s">
        <v>93</v>
      </c>
      <c r="I23" s="41" t="s">
        <v>67</v>
      </c>
      <c r="J23" s="41" t="s">
        <v>114</v>
      </c>
      <c r="K23" s="41" t="s">
        <v>67</v>
      </c>
      <c r="L23" s="51"/>
      <c r="M23" s="51"/>
      <c r="N23" s="51" t="s">
        <v>69</v>
      </c>
      <c r="O23" s="51"/>
      <c r="P23" s="51" t="s">
        <v>180</v>
      </c>
      <c r="Q23" s="51" t="s">
        <v>181</v>
      </c>
      <c r="R23" s="51">
        <v>58500</v>
      </c>
      <c r="S23" s="51" t="s">
        <v>177</v>
      </c>
    </row>
    <row r="24" spans="1:31" ht="14.45">
      <c r="A24" s="41" t="s">
        <v>182</v>
      </c>
      <c r="B24" s="41" t="s">
        <v>71</v>
      </c>
      <c r="C24" s="42" t="s">
        <v>183</v>
      </c>
      <c r="D24" s="43" t="s">
        <v>52</v>
      </c>
      <c r="E24" s="41" t="s">
        <v>184</v>
      </c>
      <c r="F24" s="41" t="s">
        <v>65</v>
      </c>
      <c r="G24" s="43" t="s">
        <v>79</v>
      </c>
      <c r="H24" s="41" t="s">
        <v>66</v>
      </c>
      <c r="I24" s="41" t="s">
        <v>160</v>
      </c>
      <c r="J24" s="41" t="s">
        <v>68</v>
      </c>
      <c r="K24" s="41" t="s">
        <v>67</v>
      </c>
      <c r="L24" s="41"/>
      <c r="M24" s="41"/>
      <c r="N24" s="41" t="s">
        <v>69</v>
      </c>
      <c r="O24" s="41"/>
      <c r="P24" s="41" t="s">
        <v>185</v>
      </c>
      <c r="Q24" s="41"/>
      <c r="R24" s="41">
        <v>27000</v>
      </c>
      <c r="S24" s="41"/>
    </row>
    <row r="25" spans="1:31" ht="42">
      <c r="A25" s="59" t="s">
        <v>186</v>
      </c>
      <c r="B25" s="51" t="s">
        <v>71</v>
      </c>
      <c r="C25" s="52" t="s">
        <v>187</v>
      </c>
      <c r="D25" s="53" t="s">
        <v>137</v>
      </c>
      <c r="E25" s="51" t="s">
        <v>188</v>
      </c>
      <c r="F25" s="51" t="s">
        <v>65</v>
      </c>
      <c r="G25" s="53" t="s">
        <v>55</v>
      </c>
      <c r="H25" s="51" t="s">
        <v>103</v>
      </c>
      <c r="I25" s="51" t="s">
        <v>17</v>
      </c>
      <c r="J25" s="51" t="s">
        <v>68</v>
      </c>
      <c r="K25" s="51" t="s">
        <v>59</v>
      </c>
      <c r="L25" s="51"/>
      <c r="M25" s="51"/>
      <c r="N25" s="51" t="s">
        <v>69</v>
      </c>
      <c r="O25" s="51"/>
      <c r="P25" s="51" t="s">
        <v>189</v>
      </c>
      <c r="Q25" s="51" t="s">
        <v>190</v>
      </c>
      <c r="R25" s="51">
        <v>97200</v>
      </c>
      <c r="S25" s="51" t="s">
        <v>162</v>
      </c>
    </row>
    <row r="26" spans="1:31" s="58" customFormat="1" ht="27.95">
      <c r="A26" s="54" t="s">
        <v>191</v>
      </c>
      <c r="B26" s="54" t="s">
        <v>100</v>
      </c>
      <c r="C26" s="55" t="s">
        <v>192</v>
      </c>
      <c r="D26" s="56" t="s">
        <v>52</v>
      </c>
      <c r="E26" s="54" t="s">
        <v>193</v>
      </c>
      <c r="F26" s="54" t="s">
        <v>65</v>
      </c>
      <c r="G26" s="56" t="s">
        <v>79</v>
      </c>
      <c r="H26" s="54" t="s">
        <v>194</v>
      </c>
      <c r="I26" s="54" t="s">
        <v>160</v>
      </c>
      <c r="J26" s="54" t="s">
        <v>149</v>
      </c>
      <c r="K26" s="54" t="s">
        <v>67</v>
      </c>
      <c r="L26" s="54" t="s">
        <v>174</v>
      </c>
      <c r="M26" s="54"/>
      <c r="N26" s="54" t="s">
        <v>195</v>
      </c>
      <c r="O26" s="54"/>
      <c r="P26" s="54" t="s">
        <v>196</v>
      </c>
      <c r="Q26" s="54" t="s">
        <v>197</v>
      </c>
      <c r="R26" s="54">
        <v>11700</v>
      </c>
      <c r="S26" s="54" t="s">
        <v>170</v>
      </c>
    </row>
    <row r="27" spans="1:31" s="45" customFormat="1" ht="27.95">
      <c r="A27" s="41" t="s">
        <v>116</v>
      </c>
      <c r="B27" s="41" t="s">
        <v>71</v>
      </c>
      <c r="C27" s="42" t="s">
        <v>198</v>
      </c>
      <c r="D27" s="43" t="s">
        <v>147</v>
      </c>
      <c r="E27" s="41" t="s">
        <v>199</v>
      </c>
      <c r="F27" s="41"/>
      <c r="G27" s="43" t="s">
        <v>55</v>
      </c>
      <c r="H27" s="41" t="s">
        <v>200</v>
      </c>
      <c r="I27" s="41" t="s">
        <v>173</v>
      </c>
      <c r="J27" s="41" t="s">
        <v>103</v>
      </c>
      <c r="K27" s="41" t="s">
        <v>67</v>
      </c>
      <c r="L27" s="41" t="s">
        <v>174</v>
      </c>
      <c r="M27" s="41"/>
      <c r="N27" s="41" t="s">
        <v>104</v>
      </c>
      <c r="O27" s="41"/>
      <c r="P27" s="41" t="s">
        <v>201</v>
      </c>
      <c r="Q27" s="41" t="s">
        <v>202</v>
      </c>
      <c r="R27" s="41"/>
      <c r="S27" s="41"/>
    </row>
    <row r="28" spans="1:31" ht="14.45">
      <c r="A28" s="41" t="s">
        <v>203</v>
      </c>
      <c r="B28" s="41" t="s">
        <v>71</v>
      </c>
      <c r="C28" s="42" t="s">
        <v>204</v>
      </c>
      <c r="D28" s="43" t="s">
        <v>137</v>
      </c>
      <c r="E28" s="41" t="s">
        <v>205</v>
      </c>
      <c r="F28" s="41" t="s">
        <v>65</v>
      </c>
      <c r="G28" s="43" t="s">
        <v>55</v>
      </c>
      <c r="H28" s="41" t="s">
        <v>206</v>
      </c>
      <c r="I28" s="41" t="s">
        <v>173</v>
      </c>
      <c r="J28" s="71" t="s">
        <v>207</v>
      </c>
      <c r="K28" s="41" t="s">
        <v>67</v>
      </c>
      <c r="L28" s="41" t="s">
        <v>208</v>
      </c>
      <c r="M28" s="41"/>
      <c r="N28" s="41" t="s">
        <v>69</v>
      </c>
      <c r="O28" s="41"/>
      <c r="P28" s="41" t="s">
        <v>209</v>
      </c>
      <c r="Q28" s="41" t="s">
        <v>210</v>
      </c>
      <c r="R28" s="41"/>
      <c r="S28" s="41"/>
    </row>
    <row r="29" spans="1:31" ht="42">
      <c r="A29" s="3"/>
      <c r="B29" s="3" t="s">
        <v>50</v>
      </c>
      <c r="C29" s="4" t="s">
        <v>211</v>
      </c>
      <c r="D29" s="5" t="s">
        <v>52</v>
      </c>
      <c r="E29" s="3" t="s">
        <v>212</v>
      </c>
      <c r="F29" s="3" t="s">
        <v>65</v>
      </c>
      <c r="G29" s="5" t="s">
        <v>79</v>
      </c>
      <c r="H29" s="3" t="s">
        <v>66</v>
      </c>
      <c r="I29" s="3" t="s">
        <v>67</v>
      </c>
      <c r="J29" s="3" t="s">
        <v>68</v>
      </c>
      <c r="K29" s="3" t="s">
        <v>67</v>
      </c>
      <c r="L29" s="3" t="s">
        <v>60</v>
      </c>
      <c r="M29" s="3"/>
      <c r="N29" s="3" t="s">
        <v>69</v>
      </c>
      <c r="O29" s="3"/>
      <c r="P29" s="3" t="s">
        <v>213</v>
      </c>
      <c r="Q29" s="3"/>
      <c r="R29" s="3">
        <v>19800</v>
      </c>
      <c r="S29" s="3" t="s">
        <v>214</v>
      </c>
    </row>
    <row r="30" spans="1:31" ht="42">
      <c r="A30" s="3" t="s">
        <v>215</v>
      </c>
      <c r="B30" s="3" t="s">
        <v>100</v>
      </c>
      <c r="C30" s="4" t="s">
        <v>216</v>
      </c>
      <c r="D30" s="5" t="s">
        <v>52</v>
      </c>
      <c r="E30" s="3" t="s">
        <v>217</v>
      </c>
      <c r="F30" s="3" t="s">
        <v>54</v>
      </c>
      <c r="G30" s="5" t="s">
        <v>79</v>
      </c>
      <c r="H30" s="3" t="s">
        <v>119</v>
      </c>
      <c r="I30" s="3" t="s">
        <v>160</v>
      </c>
      <c r="J30" s="3" t="s">
        <v>66</v>
      </c>
      <c r="K30" s="3" t="s">
        <v>67</v>
      </c>
      <c r="L30" s="3"/>
      <c r="M30" s="3" t="s">
        <v>119</v>
      </c>
      <c r="N30" s="3" t="s">
        <v>218</v>
      </c>
      <c r="O30" s="3"/>
      <c r="P30" s="3" t="s">
        <v>219</v>
      </c>
      <c r="Q30" s="3" t="s">
        <v>220</v>
      </c>
      <c r="R30" s="3">
        <v>28800</v>
      </c>
      <c r="S30" s="3" t="s">
        <v>221</v>
      </c>
    </row>
    <row r="31" spans="1:31" ht="27.95">
      <c r="A31" s="47" t="s">
        <v>222</v>
      </c>
      <c r="B31" s="47" t="s">
        <v>89</v>
      </c>
      <c r="C31" s="48" t="s">
        <v>223</v>
      </c>
      <c r="D31" s="49" t="s">
        <v>137</v>
      </c>
      <c r="E31" s="47" t="s">
        <v>224</v>
      </c>
      <c r="F31" s="47" t="s">
        <v>65</v>
      </c>
      <c r="G31" s="49" t="s">
        <v>55</v>
      </c>
      <c r="H31" s="47" t="s">
        <v>206</v>
      </c>
      <c r="I31" s="47" t="s">
        <v>173</v>
      </c>
      <c r="J31" s="47" t="s">
        <v>103</v>
      </c>
      <c r="K31" s="47" t="s">
        <v>67</v>
      </c>
      <c r="L31" s="47" t="s">
        <v>174</v>
      </c>
      <c r="M31" s="47"/>
      <c r="N31" s="47" t="s">
        <v>104</v>
      </c>
      <c r="O31" s="47"/>
      <c r="P31" s="50">
        <v>46043.643055555556</v>
      </c>
      <c r="Q31" s="47" t="s">
        <v>225</v>
      </c>
      <c r="R31" s="47"/>
      <c r="S31" s="47"/>
    </row>
    <row r="32" spans="1:31" ht="69.95">
      <c r="A32" s="3"/>
      <c r="B32" s="3" t="s">
        <v>89</v>
      </c>
      <c r="C32" s="4" t="s">
        <v>226</v>
      </c>
      <c r="D32" s="5" t="s">
        <v>147</v>
      </c>
      <c r="E32" s="3" t="s">
        <v>227</v>
      </c>
      <c r="F32" s="3"/>
      <c r="G32" s="5" t="s">
        <v>55</v>
      </c>
      <c r="H32" s="3" t="s">
        <v>228</v>
      </c>
      <c r="I32" s="3" t="s">
        <v>173</v>
      </c>
      <c r="J32" s="3" t="s">
        <v>129</v>
      </c>
      <c r="K32" s="3" t="s">
        <v>67</v>
      </c>
      <c r="L32" s="3" t="s">
        <v>229</v>
      </c>
      <c r="M32" s="3"/>
      <c r="N32" s="3" t="s">
        <v>230</v>
      </c>
      <c r="O32" s="3"/>
      <c r="P32" s="6">
        <v>46041.63958333333</v>
      </c>
      <c r="Q32" s="3" t="s">
        <v>231</v>
      </c>
      <c r="R32" s="3">
        <v>328500</v>
      </c>
      <c r="S32" s="3" t="s">
        <v>232</v>
      </c>
    </row>
    <row r="33" spans="1:28" ht="14.45">
      <c r="A33" s="3"/>
      <c r="B33" s="3" t="s">
        <v>89</v>
      </c>
      <c r="C33" s="4" t="s">
        <v>233</v>
      </c>
      <c r="D33" s="5" t="s">
        <v>147</v>
      </c>
      <c r="E33" s="3" t="s">
        <v>234</v>
      </c>
      <c r="F33" s="3"/>
      <c r="G33" s="5" t="s">
        <v>97</v>
      </c>
      <c r="H33" s="3" t="s">
        <v>228</v>
      </c>
      <c r="I33" s="3" t="s">
        <v>173</v>
      </c>
      <c r="J33" s="3" t="s">
        <v>129</v>
      </c>
      <c r="K33" s="3" t="s">
        <v>67</v>
      </c>
      <c r="L33" s="3" t="s">
        <v>235</v>
      </c>
      <c r="M33" s="3"/>
      <c r="N33" s="3" t="s">
        <v>236</v>
      </c>
      <c r="O33" s="3"/>
      <c r="P33" s="6">
        <v>46031.411805555559</v>
      </c>
      <c r="Q33" s="3" t="s">
        <v>237</v>
      </c>
      <c r="R33" s="3">
        <v>162900</v>
      </c>
      <c r="S33" s="3" t="s">
        <v>238</v>
      </c>
    </row>
    <row r="34" spans="1:28" s="45" customFormat="1" ht="42">
      <c r="A34" s="41" t="s">
        <v>239</v>
      </c>
      <c r="B34" s="41" t="s">
        <v>71</v>
      </c>
      <c r="C34" s="42" t="s">
        <v>240</v>
      </c>
      <c r="D34" s="43" t="s">
        <v>52</v>
      </c>
      <c r="E34" s="41" t="s">
        <v>241</v>
      </c>
      <c r="F34" s="41" t="s">
        <v>65</v>
      </c>
      <c r="G34" s="43" t="s">
        <v>79</v>
      </c>
      <c r="H34" s="41" t="s">
        <v>194</v>
      </c>
      <c r="I34" s="41" t="s">
        <v>160</v>
      </c>
      <c r="J34" s="41" t="s">
        <v>81</v>
      </c>
      <c r="K34" s="41" t="s">
        <v>80</v>
      </c>
      <c r="L34" s="41" t="s">
        <v>174</v>
      </c>
      <c r="M34" s="41"/>
      <c r="N34" s="41" t="s">
        <v>242</v>
      </c>
      <c r="O34" s="41"/>
      <c r="P34" s="41" t="s">
        <v>243</v>
      </c>
      <c r="Q34" s="41" t="s">
        <v>244</v>
      </c>
      <c r="R34" s="41">
        <v>74700</v>
      </c>
      <c r="S34" s="41" t="s">
        <v>245</v>
      </c>
    </row>
    <row r="35" spans="1:28" s="45" customFormat="1" ht="69.95">
      <c r="A35" s="41" t="s">
        <v>246</v>
      </c>
      <c r="B35" s="41" t="s">
        <v>135</v>
      </c>
      <c r="C35" s="42" t="s">
        <v>247</v>
      </c>
      <c r="D35" s="43" t="s">
        <v>52</v>
      </c>
      <c r="E35" s="41" t="s">
        <v>248</v>
      </c>
      <c r="F35" s="41" t="s">
        <v>54</v>
      </c>
      <c r="G35" s="43" t="s">
        <v>79</v>
      </c>
      <c r="H35" s="41" t="s">
        <v>249</v>
      </c>
      <c r="I35" s="41" t="s">
        <v>160</v>
      </c>
      <c r="J35" s="41" t="s">
        <v>81</v>
      </c>
      <c r="K35" s="41" t="s">
        <v>67</v>
      </c>
      <c r="L35" s="41" t="s">
        <v>60</v>
      </c>
      <c r="M35" s="41" t="s">
        <v>119</v>
      </c>
      <c r="N35" s="41" t="s">
        <v>82</v>
      </c>
      <c r="O35" s="41"/>
      <c r="P35" s="41" t="s">
        <v>250</v>
      </c>
      <c r="Q35" s="41" t="s">
        <v>251</v>
      </c>
      <c r="R35" s="41">
        <v>41400</v>
      </c>
      <c r="S35" s="41" t="s">
        <v>252</v>
      </c>
    </row>
    <row r="36" spans="1:28" ht="27.95">
      <c r="A36" s="3"/>
      <c r="B36" s="3" t="s">
        <v>89</v>
      </c>
      <c r="C36" s="4" t="s">
        <v>253</v>
      </c>
      <c r="D36" s="5" t="s">
        <v>147</v>
      </c>
      <c r="E36" s="3" t="s">
        <v>254</v>
      </c>
      <c r="F36" s="3"/>
      <c r="G36" s="5" t="s">
        <v>79</v>
      </c>
      <c r="H36" s="3" t="s">
        <v>200</v>
      </c>
      <c r="I36" s="3" t="s">
        <v>173</v>
      </c>
      <c r="J36" s="3" t="s">
        <v>81</v>
      </c>
      <c r="K36" s="3" t="s">
        <v>67</v>
      </c>
      <c r="L36" s="3"/>
      <c r="M36" s="3"/>
      <c r="N36" s="3" t="s">
        <v>255</v>
      </c>
      <c r="O36" s="3"/>
      <c r="P36" s="3" t="s">
        <v>256</v>
      </c>
      <c r="Q36" s="3" t="s">
        <v>257</v>
      </c>
      <c r="R36" s="3">
        <v>36000</v>
      </c>
      <c r="S36" s="3"/>
    </row>
    <row r="37" spans="1:28" s="70" customFormat="1" ht="42">
      <c r="A37" s="51" t="s">
        <v>258</v>
      </c>
      <c r="B37" s="51" t="s">
        <v>100</v>
      </c>
      <c r="C37" s="52" t="s">
        <v>259</v>
      </c>
      <c r="D37" s="53" t="s">
        <v>147</v>
      </c>
      <c r="E37" s="51" t="s">
        <v>260</v>
      </c>
      <c r="F37" s="51"/>
      <c r="G37" s="53" t="s">
        <v>79</v>
      </c>
      <c r="H37" s="51" t="s">
        <v>261</v>
      </c>
      <c r="I37" s="51" t="s">
        <v>173</v>
      </c>
      <c r="J37" s="51" t="s">
        <v>114</v>
      </c>
      <c r="K37" s="51" t="s">
        <v>67</v>
      </c>
      <c r="L37" s="51" t="s">
        <v>262</v>
      </c>
      <c r="M37" s="51"/>
      <c r="N37" s="51" t="s">
        <v>263</v>
      </c>
      <c r="O37" s="51"/>
      <c r="P37" s="51" t="s">
        <v>264</v>
      </c>
      <c r="Q37" s="51" t="s">
        <v>265</v>
      </c>
      <c r="R37" s="51">
        <v>14400</v>
      </c>
      <c r="S37" s="51" t="s">
        <v>170</v>
      </c>
    </row>
    <row r="38" spans="1:28" ht="69.95">
      <c r="A38" s="3" t="s">
        <v>266</v>
      </c>
      <c r="B38" s="3" t="s">
        <v>71</v>
      </c>
      <c r="C38" s="4" t="s">
        <v>267</v>
      </c>
      <c r="D38" s="5" t="s">
        <v>147</v>
      </c>
      <c r="E38" s="3" t="s">
        <v>268</v>
      </c>
      <c r="F38" s="3"/>
      <c r="G38" s="5" t="s">
        <v>55</v>
      </c>
      <c r="H38" s="3" t="s">
        <v>261</v>
      </c>
      <c r="I38" s="3" t="s">
        <v>173</v>
      </c>
      <c r="J38" s="3" t="s">
        <v>68</v>
      </c>
      <c r="K38" s="3" t="s">
        <v>67</v>
      </c>
      <c r="L38" s="3" t="s">
        <v>60</v>
      </c>
      <c r="M38" s="3"/>
      <c r="N38" s="3" t="s">
        <v>69</v>
      </c>
      <c r="O38" s="3"/>
      <c r="P38" s="3" t="s">
        <v>269</v>
      </c>
      <c r="Q38" s="3" t="s">
        <v>270</v>
      </c>
      <c r="R38" s="3">
        <v>10800</v>
      </c>
      <c r="S38" s="3" t="s">
        <v>271</v>
      </c>
    </row>
    <row r="39" spans="1:28" ht="42">
      <c r="A39" s="47" t="s">
        <v>272</v>
      </c>
      <c r="B39" s="47" t="s">
        <v>71</v>
      </c>
      <c r="C39" s="48" t="s">
        <v>273</v>
      </c>
      <c r="D39" s="49" t="s">
        <v>137</v>
      </c>
      <c r="E39" s="47" t="s">
        <v>274</v>
      </c>
      <c r="F39" s="47" t="s">
        <v>65</v>
      </c>
      <c r="G39" s="49" t="s">
        <v>97</v>
      </c>
      <c r="H39" s="47" t="s">
        <v>275</v>
      </c>
      <c r="I39" s="47" t="s">
        <v>173</v>
      </c>
      <c r="J39" s="47" t="s">
        <v>129</v>
      </c>
      <c r="K39" s="47" t="s">
        <v>67</v>
      </c>
      <c r="L39" s="47" t="s">
        <v>235</v>
      </c>
      <c r="M39" s="47" t="s">
        <v>93</v>
      </c>
      <c r="N39" s="47" t="s">
        <v>276</v>
      </c>
      <c r="O39" s="47"/>
      <c r="P39" s="47" t="s">
        <v>277</v>
      </c>
      <c r="Q39" s="47" t="s">
        <v>278</v>
      </c>
      <c r="R39" s="47">
        <v>30600</v>
      </c>
      <c r="S39" s="47" t="s">
        <v>279</v>
      </c>
    </row>
    <row r="40" spans="1:28" ht="56.1">
      <c r="A40" s="3"/>
      <c r="B40" s="3" t="s">
        <v>89</v>
      </c>
      <c r="C40" s="4" t="s">
        <v>280</v>
      </c>
      <c r="D40" s="5" t="s">
        <v>137</v>
      </c>
      <c r="E40" s="3" t="s">
        <v>281</v>
      </c>
      <c r="F40" s="3" t="s">
        <v>65</v>
      </c>
      <c r="G40" s="5" t="s">
        <v>79</v>
      </c>
      <c r="H40" s="3" t="s">
        <v>200</v>
      </c>
      <c r="I40" s="3" t="s">
        <v>173</v>
      </c>
      <c r="J40" s="3" t="s">
        <v>68</v>
      </c>
      <c r="K40" s="3" t="s">
        <v>67</v>
      </c>
      <c r="L40" s="3" t="s">
        <v>262</v>
      </c>
      <c r="M40" s="3"/>
      <c r="N40" s="3" t="s">
        <v>69</v>
      </c>
      <c r="O40" s="3"/>
      <c r="P40" s="3" t="s">
        <v>282</v>
      </c>
      <c r="Q40" s="3" t="s">
        <v>283</v>
      </c>
      <c r="R40" s="3">
        <v>89100</v>
      </c>
      <c r="S40" s="3" t="s">
        <v>284</v>
      </c>
    </row>
    <row r="41" spans="1:28" ht="27.95">
      <c r="A41" s="47" t="s">
        <v>285</v>
      </c>
      <c r="B41" s="47" t="s">
        <v>89</v>
      </c>
      <c r="C41" s="48" t="s">
        <v>286</v>
      </c>
      <c r="D41" s="49" t="s">
        <v>147</v>
      </c>
      <c r="E41" s="47" t="s">
        <v>287</v>
      </c>
      <c r="F41" s="47"/>
      <c r="G41" s="49" t="s">
        <v>79</v>
      </c>
      <c r="H41" s="47" t="s">
        <v>288</v>
      </c>
      <c r="I41" s="47" t="s">
        <v>17</v>
      </c>
      <c r="J41" s="47" t="s">
        <v>81</v>
      </c>
      <c r="K41" s="47" t="s">
        <v>67</v>
      </c>
      <c r="L41" s="47"/>
      <c r="M41" s="47" t="s">
        <v>56</v>
      </c>
      <c r="N41" s="47" t="s">
        <v>82</v>
      </c>
      <c r="O41" s="47"/>
      <c r="P41" s="50">
        <v>45985.44027777778</v>
      </c>
      <c r="Q41" s="47"/>
      <c r="R41" s="47">
        <v>10800</v>
      </c>
      <c r="S41" s="47" t="s">
        <v>289</v>
      </c>
    </row>
    <row r="42" spans="1:28" ht="69.95">
      <c r="A42" s="3"/>
      <c r="B42" s="3" t="s">
        <v>71</v>
      </c>
      <c r="C42" s="4" t="s">
        <v>290</v>
      </c>
      <c r="D42" s="5" t="s">
        <v>137</v>
      </c>
      <c r="E42" s="3" t="s">
        <v>291</v>
      </c>
      <c r="F42" s="3" t="s">
        <v>65</v>
      </c>
      <c r="G42" s="5" t="s">
        <v>55</v>
      </c>
      <c r="H42" s="3" t="s">
        <v>261</v>
      </c>
      <c r="I42" s="3" t="s">
        <v>292</v>
      </c>
      <c r="J42" s="3" t="s">
        <v>129</v>
      </c>
      <c r="K42" s="3" t="s">
        <v>67</v>
      </c>
      <c r="L42" s="3" t="s">
        <v>235</v>
      </c>
      <c r="M42" s="3"/>
      <c r="N42" s="3" t="s">
        <v>69</v>
      </c>
      <c r="O42" s="3"/>
      <c r="P42" s="6">
        <v>45980.481944444444</v>
      </c>
      <c r="Q42" s="3" t="s">
        <v>293</v>
      </c>
      <c r="R42" s="3">
        <v>28800</v>
      </c>
      <c r="S42" s="3" t="s">
        <v>294</v>
      </c>
    </row>
    <row r="43" spans="1:28" s="69" customFormat="1" ht="14.45">
      <c r="A43" s="47" t="s">
        <v>215</v>
      </c>
      <c r="B43" s="47" t="s">
        <v>89</v>
      </c>
      <c r="C43" s="48" t="s">
        <v>295</v>
      </c>
      <c r="D43" s="49" t="s">
        <v>52</v>
      </c>
      <c r="E43" s="47" t="s">
        <v>296</v>
      </c>
      <c r="F43" s="47" t="s">
        <v>65</v>
      </c>
      <c r="G43" s="49" t="s">
        <v>79</v>
      </c>
      <c r="H43" s="47" t="s">
        <v>56</v>
      </c>
      <c r="I43" s="47" t="s">
        <v>297</v>
      </c>
      <c r="J43" s="47" t="s">
        <v>68</v>
      </c>
      <c r="K43" s="47" t="s">
        <v>67</v>
      </c>
      <c r="L43" s="47" t="s">
        <v>60</v>
      </c>
      <c r="M43" s="47"/>
      <c r="N43" s="47" t="s">
        <v>69</v>
      </c>
      <c r="O43" s="47"/>
      <c r="P43" s="50">
        <v>45961.520138888889</v>
      </c>
      <c r="Q43" s="47" t="s">
        <v>298</v>
      </c>
      <c r="R43" s="47">
        <v>25200</v>
      </c>
      <c r="S43" s="47" t="s">
        <v>289</v>
      </c>
    </row>
    <row r="44" spans="1:28" ht="27.95">
      <c r="A44" s="41" t="s">
        <v>299</v>
      </c>
      <c r="B44" s="41" t="s">
        <v>89</v>
      </c>
      <c r="C44" s="42" t="s">
        <v>300</v>
      </c>
      <c r="D44" s="43" t="s">
        <v>52</v>
      </c>
      <c r="E44" s="41" t="s">
        <v>301</v>
      </c>
      <c r="F44" s="41" t="s">
        <v>65</v>
      </c>
      <c r="G44" s="43" t="s">
        <v>97</v>
      </c>
      <c r="H44" s="41" t="s">
        <v>81</v>
      </c>
      <c r="I44" s="41" t="s">
        <v>139</v>
      </c>
      <c r="J44" s="41" t="s">
        <v>81</v>
      </c>
      <c r="K44" s="41" t="s">
        <v>67</v>
      </c>
      <c r="L44" s="41" t="s">
        <v>60</v>
      </c>
      <c r="M44" s="41" t="s">
        <v>56</v>
      </c>
      <c r="N44" s="41" t="s">
        <v>82</v>
      </c>
      <c r="O44" s="41"/>
      <c r="P44" s="44">
        <v>45953.770833333336</v>
      </c>
      <c r="Q44" s="41" t="s">
        <v>302</v>
      </c>
      <c r="R44" s="41">
        <v>54000</v>
      </c>
      <c r="S44" s="41" t="s">
        <v>303</v>
      </c>
    </row>
    <row r="45" spans="1:28" s="69" customFormat="1" ht="56.1">
      <c r="A45" s="41" t="s">
        <v>304</v>
      </c>
      <c r="B45" s="41" t="s">
        <v>100</v>
      </c>
      <c r="C45" s="42" t="s">
        <v>305</v>
      </c>
      <c r="D45" s="43" t="s">
        <v>137</v>
      </c>
      <c r="E45" s="41" t="s">
        <v>306</v>
      </c>
      <c r="F45" s="41" t="s">
        <v>54</v>
      </c>
      <c r="G45" s="43" t="s">
        <v>79</v>
      </c>
      <c r="H45" s="41" t="s">
        <v>206</v>
      </c>
      <c r="I45" s="41" t="s">
        <v>173</v>
      </c>
      <c r="J45" s="41" t="s">
        <v>58</v>
      </c>
      <c r="K45" s="41" t="s">
        <v>67</v>
      </c>
      <c r="L45" s="41"/>
      <c r="M45" s="41"/>
      <c r="N45" s="41" t="s">
        <v>307</v>
      </c>
      <c r="O45" s="41"/>
      <c r="P45" s="44">
        <v>45945.496527777781</v>
      </c>
      <c r="Q45" s="41" t="s">
        <v>308</v>
      </c>
      <c r="R45" s="41">
        <v>46800</v>
      </c>
      <c r="S45" s="41" t="s">
        <v>284</v>
      </c>
      <c r="T45" s="45"/>
      <c r="U45" s="45"/>
      <c r="V45" s="45"/>
      <c r="W45" s="45"/>
      <c r="X45" s="45"/>
      <c r="Y45" s="45"/>
      <c r="Z45" s="45"/>
      <c r="AA45" s="45"/>
      <c r="AB45" s="45"/>
    </row>
    <row r="46" spans="1:28" ht="27.95">
      <c r="A46" s="3" t="s">
        <v>165</v>
      </c>
      <c r="B46" s="3" t="s">
        <v>135</v>
      </c>
      <c r="C46" s="4" t="s">
        <v>309</v>
      </c>
      <c r="D46" s="5" t="s">
        <v>137</v>
      </c>
      <c r="E46" s="3" t="s">
        <v>310</v>
      </c>
      <c r="F46" s="3" t="s">
        <v>65</v>
      </c>
      <c r="G46" s="5" t="s">
        <v>79</v>
      </c>
      <c r="H46" s="3" t="s">
        <v>200</v>
      </c>
      <c r="I46" s="3"/>
      <c r="J46" s="3" t="s">
        <v>66</v>
      </c>
      <c r="K46" s="3" t="s">
        <v>67</v>
      </c>
      <c r="L46" s="3" t="s">
        <v>208</v>
      </c>
      <c r="M46" s="3"/>
      <c r="N46" s="3" t="s">
        <v>311</v>
      </c>
      <c r="O46" s="3"/>
      <c r="P46" s="6">
        <v>45944.620833333334</v>
      </c>
      <c r="Q46" s="3" t="s">
        <v>312</v>
      </c>
      <c r="R46" s="3">
        <v>54900</v>
      </c>
      <c r="S46" s="3"/>
    </row>
    <row r="47" spans="1:28" ht="69.95">
      <c r="A47" s="3" t="s">
        <v>239</v>
      </c>
      <c r="B47" s="3" t="s">
        <v>89</v>
      </c>
      <c r="C47" s="4" t="s">
        <v>313</v>
      </c>
      <c r="D47" s="5" t="s">
        <v>147</v>
      </c>
      <c r="E47" s="3" t="s">
        <v>314</v>
      </c>
      <c r="F47" s="3"/>
      <c r="G47" s="5" t="s">
        <v>79</v>
      </c>
      <c r="H47" s="3" t="s">
        <v>58</v>
      </c>
      <c r="I47" s="3" t="s">
        <v>173</v>
      </c>
      <c r="J47" s="3" t="s">
        <v>58</v>
      </c>
      <c r="K47" s="3" t="s">
        <v>67</v>
      </c>
      <c r="L47" s="3"/>
      <c r="M47" s="3"/>
      <c r="N47" s="3" t="s">
        <v>69</v>
      </c>
      <c r="O47" s="3"/>
      <c r="P47" s="6">
        <v>45939.331250000003</v>
      </c>
      <c r="Q47" s="3" t="s">
        <v>315</v>
      </c>
      <c r="R47" s="3">
        <v>90900</v>
      </c>
      <c r="S47" s="3" t="s">
        <v>316</v>
      </c>
    </row>
    <row r="48" spans="1:28" ht="69.95">
      <c r="A48" s="47" t="s">
        <v>116</v>
      </c>
      <c r="B48" s="47" t="s">
        <v>100</v>
      </c>
      <c r="C48" s="48" t="s">
        <v>317</v>
      </c>
      <c r="D48" s="49" t="s">
        <v>137</v>
      </c>
      <c r="E48" s="47" t="s">
        <v>318</v>
      </c>
      <c r="F48" s="47" t="s">
        <v>65</v>
      </c>
      <c r="G48" s="49" t="s">
        <v>79</v>
      </c>
      <c r="H48" s="47" t="s">
        <v>275</v>
      </c>
      <c r="I48" s="47" t="s">
        <v>292</v>
      </c>
      <c r="J48" s="47" t="s">
        <v>319</v>
      </c>
      <c r="K48" s="47" t="s">
        <v>67</v>
      </c>
      <c r="L48" s="47" t="s">
        <v>320</v>
      </c>
      <c r="M48" s="47" t="s">
        <v>119</v>
      </c>
      <c r="N48" s="47" t="s">
        <v>263</v>
      </c>
      <c r="O48" s="47"/>
      <c r="P48" s="50">
        <v>45933.707638888889</v>
      </c>
      <c r="Q48" s="47" t="s">
        <v>321</v>
      </c>
      <c r="R48" s="47">
        <v>90000</v>
      </c>
      <c r="S48" s="47" t="s">
        <v>322</v>
      </c>
      <c r="T48" s="2" t="s">
        <v>323</v>
      </c>
    </row>
    <row r="49" spans="1:19" s="69" customFormat="1" ht="69.95">
      <c r="A49" s="47" t="s">
        <v>324</v>
      </c>
      <c r="B49" s="47" t="s">
        <v>135</v>
      </c>
      <c r="C49" s="48" t="s">
        <v>176</v>
      </c>
      <c r="D49" s="49" t="s">
        <v>137</v>
      </c>
      <c r="E49" s="47" t="s">
        <v>325</v>
      </c>
      <c r="F49" s="47" t="s">
        <v>65</v>
      </c>
      <c r="G49" s="49" t="s">
        <v>79</v>
      </c>
      <c r="H49" s="47" t="s">
        <v>200</v>
      </c>
      <c r="I49" s="47" t="s">
        <v>292</v>
      </c>
      <c r="J49" s="47" t="s">
        <v>132</v>
      </c>
      <c r="K49" s="47" t="s">
        <v>67</v>
      </c>
      <c r="L49" s="47" t="s">
        <v>174</v>
      </c>
      <c r="M49" s="47"/>
      <c r="N49" s="47" t="s">
        <v>263</v>
      </c>
      <c r="O49" s="47"/>
      <c r="P49" s="50">
        <v>45930.381944444445</v>
      </c>
      <c r="Q49" s="47" t="s">
        <v>326</v>
      </c>
      <c r="R49" s="47">
        <v>58500</v>
      </c>
      <c r="S49" s="47" t="s">
        <v>327</v>
      </c>
    </row>
    <row r="50" spans="1:19" ht="126">
      <c r="A50" s="61" t="s">
        <v>328</v>
      </c>
      <c r="B50" s="61" t="s">
        <v>71</v>
      </c>
      <c r="C50" s="62" t="s">
        <v>329</v>
      </c>
      <c r="D50" s="63" t="s">
        <v>137</v>
      </c>
      <c r="E50" s="61" t="s">
        <v>330</v>
      </c>
      <c r="F50" s="61" t="s">
        <v>65</v>
      </c>
      <c r="G50" s="63" t="s">
        <v>79</v>
      </c>
      <c r="H50" s="61" t="s">
        <v>261</v>
      </c>
      <c r="I50" s="61" t="s">
        <v>331</v>
      </c>
      <c r="J50" s="61" t="s">
        <v>81</v>
      </c>
      <c r="K50" s="61" t="s">
        <v>67</v>
      </c>
      <c r="L50" s="61" t="s">
        <v>60</v>
      </c>
      <c r="M50" s="61"/>
      <c r="N50" s="61" t="s">
        <v>332</v>
      </c>
      <c r="O50" s="61"/>
      <c r="P50" s="64">
        <v>45580.716666666667</v>
      </c>
      <c r="Q50" s="61" t="s">
        <v>333</v>
      </c>
      <c r="R50" s="61">
        <v>136800</v>
      </c>
      <c r="S50" s="61" t="s">
        <v>334</v>
      </c>
    </row>
    <row r="51" spans="1:19" ht="42">
      <c r="A51" s="3"/>
      <c r="B51" s="3" t="s">
        <v>71</v>
      </c>
      <c r="C51" s="4" t="s">
        <v>335</v>
      </c>
      <c r="D51" s="5" t="s">
        <v>137</v>
      </c>
      <c r="E51" s="3" t="s">
        <v>336</v>
      </c>
      <c r="F51" s="3" t="s">
        <v>65</v>
      </c>
      <c r="G51" s="5" t="s">
        <v>97</v>
      </c>
      <c r="H51" s="3" t="s">
        <v>337</v>
      </c>
      <c r="I51" s="3" t="s">
        <v>338</v>
      </c>
      <c r="J51" s="3" t="s">
        <v>339</v>
      </c>
      <c r="K51" s="3" t="s">
        <v>67</v>
      </c>
      <c r="L51" s="3" t="s">
        <v>235</v>
      </c>
      <c r="M51" s="3"/>
      <c r="N51" s="3" t="s">
        <v>340</v>
      </c>
      <c r="O51" s="3"/>
      <c r="P51" s="3" t="s">
        <v>341</v>
      </c>
      <c r="Q51" s="3" t="s">
        <v>342</v>
      </c>
      <c r="R51" s="3">
        <v>158400</v>
      </c>
      <c r="S51" s="3" t="s">
        <v>343</v>
      </c>
    </row>
    <row r="52" spans="1:19" ht="9.6" customHeight="1">
      <c r="A52" s="3"/>
      <c r="B52" s="203" t="s">
        <v>344</v>
      </c>
      <c r="C52" s="204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5"/>
    </row>
  </sheetData>
  <autoFilter ref="B1:S52" xr:uid="{C376552A-A326-49C5-94B9-E3B7D2F20A4F}"/>
  <mergeCells count="1">
    <mergeCell ref="B52:S52"/>
  </mergeCells>
  <hyperlinks>
    <hyperlink ref="C2" r:id="rId1" display="https://support.neoxam.com/browse/IMPRESS-27853" xr:uid="{4D5D76CF-7A0A-4717-8781-7E0493B94573}"/>
    <hyperlink ref="C3" r:id="rId2" display="https://support.neoxam.com/browse/IMPRESS-27850" xr:uid="{C41AB4DE-3ED4-4F75-BEFF-170E0C0498C0}"/>
    <hyperlink ref="C4" r:id="rId3" display="https://support.neoxam.com/browse/IMPRESS-27842" xr:uid="{3D0C539F-133D-4F96-B18A-C13573AD0A7A}"/>
    <hyperlink ref="C5" r:id="rId4" display="https://support.neoxam.com/browse/IMPRESS-27840" xr:uid="{40294F64-0048-48C3-9617-2EFD393ACA7E}"/>
    <hyperlink ref="C6" r:id="rId5" display="https://support.neoxam.com/browse/IMPRESS-27825" xr:uid="{19836C23-4401-4F48-8CD8-B182AD8C42BA}"/>
    <hyperlink ref="C7" r:id="rId6" display="https://support.neoxam.com/browse/IMPRESS-27815" xr:uid="{79D500FA-A450-4E85-886C-B190F64CE4B5}"/>
    <hyperlink ref="C8" r:id="rId7" display="https://support.neoxam.com/browse/IMPRESS-27801" xr:uid="{4BD6C9FD-9511-4150-98AE-5B2F321BC01C}"/>
    <hyperlink ref="C9" r:id="rId8" display="https://support.neoxam.com/browse/IMPRESS-27795" xr:uid="{DFFACCAB-B496-4848-B6E8-3CA005DA3459}"/>
    <hyperlink ref="C10" r:id="rId9" display="https://support.neoxam.com/browse/IMPRESS-27778" xr:uid="{BA9D5679-DB05-4A42-B647-EA184F413C1E}"/>
    <hyperlink ref="C11" r:id="rId10" display="https://support.neoxam.com/browse/IMPRESS-27775" xr:uid="{51C9A37C-0FEC-476A-9088-D977EB2014F3}"/>
    <hyperlink ref="C12" r:id="rId11" display="https://support.neoxam.com/browse/IMPRESS-27762" xr:uid="{FC584F29-FAF3-4C2F-A9B1-EA4F7D348B6F}"/>
    <hyperlink ref="C13" r:id="rId12" display="https://support.neoxam.com/browse/IMPRESS-27760" xr:uid="{16C53B2E-3FA9-41F7-A32F-08BDA401F07E}"/>
    <hyperlink ref="C14" r:id="rId13" display="https://support.neoxam.com/browse/IMPRESS-27755" xr:uid="{FC83627F-1F65-4595-944D-D4EB2DF774BC}"/>
    <hyperlink ref="C15" r:id="rId14" display="https://support.neoxam.com/browse/IMPRESS-27747" xr:uid="{79B9F628-E4DE-4711-9BE8-2B1A53E2DF9D}"/>
    <hyperlink ref="C16" r:id="rId15" display="https://support.neoxam.com/browse/IMPRESS-27740" xr:uid="{D250A3F0-373A-4359-81C0-DB823D8073EC}"/>
    <hyperlink ref="C17" r:id="rId16" display="https://support.neoxam.com/browse/IMPRESS-27734" xr:uid="{A310F653-F0A7-4E41-8EC9-8C5C18628748}"/>
    <hyperlink ref="C18" r:id="rId17" display="https://support.neoxam.com/browse/IMPRESS-27716" xr:uid="{9F61C3ED-315F-45AD-9A38-89EF97783C7D}"/>
    <hyperlink ref="C19" r:id="rId18" display="https://support.neoxam.com/browse/IMPRESS-27715" xr:uid="{2F7FFD80-12EC-4CCC-ACDA-2B89BA6A6EB0}"/>
    <hyperlink ref="C20" r:id="rId19" display="https://support.neoxam.com/browse/IMPRESS-27688" xr:uid="{D9C497DF-FDAF-460A-9F59-4D34F1D87755}"/>
    <hyperlink ref="C21" r:id="rId20" display="https://support.neoxam.com/browse/IMPRESS-27682" xr:uid="{FAC90826-B297-4442-AA30-D0A8733EC4ED}"/>
    <hyperlink ref="C22" r:id="rId21" display="https://support.neoxam.com/browse/IMPRESS-27680" xr:uid="{A5F8335B-BF50-4DC3-A45F-7A7EA0BF9E1A}"/>
    <hyperlink ref="C23" r:id="rId22" display="https://support.neoxam.com/browse/IMPRESS-27670" xr:uid="{B1E7DC03-1E6A-442E-849D-39134F21D24B}"/>
    <hyperlink ref="C24" r:id="rId23" display="https://support.neoxam.com/browse/IMPRESS-27657" xr:uid="{951FBCC3-239B-4395-8EBD-97A3A14512F7}"/>
    <hyperlink ref="C25" r:id="rId24" display="https://support.neoxam.com/browse/IMPRESS-27648" xr:uid="{751F9E5F-4AD3-4243-A270-6CBFC6951E4E}"/>
    <hyperlink ref="C26" r:id="rId25" display="https://support.neoxam.com/browse/IMPRESS-27645" xr:uid="{E4D2E49A-6401-4E95-8F11-67F291FC0932}"/>
    <hyperlink ref="C27" r:id="rId26" display="https://support.neoxam.com/browse/IMPRESS-27600" xr:uid="{D2E1335B-79AD-4377-9BF5-E000702C4C86}"/>
    <hyperlink ref="C28" r:id="rId27" display="https://support.neoxam.com/browse/IMPRESS-27593" xr:uid="{0D914366-5AD0-4A10-87DF-44947884F9A0}"/>
    <hyperlink ref="C29" r:id="rId28" display="https://support.neoxam.com/browse/IMPRESS-27583" xr:uid="{136D08CB-645F-49CB-87B0-F0B8CA1C2E5D}"/>
    <hyperlink ref="C30" r:id="rId29" display="https://support.neoxam.com/browse/IMPRESS-27512" xr:uid="{A80B28DE-770E-43C9-A0AF-CCC6CE574C43}"/>
    <hyperlink ref="C31" r:id="rId30" display="https://support.neoxam.com/browse/IMPRESS-27430" xr:uid="{AFB15A35-E8B4-4902-87A6-B8522B816A37}"/>
    <hyperlink ref="C32" r:id="rId31" display="https://support.neoxam.com/browse/IMPRESS-27404" xr:uid="{21382FAB-F876-435D-BCD7-3B7DF63A9A94}"/>
    <hyperlink ref="C33" r:id="rId32" display="https://support.neoxam.com/browse/IMPRESS-27333" xr:uid="{F642815A-07D3-48EA-B3F5-E7394AF27023}"/>
    <hyperlink ref="C34" r:id="rId33" display="https://support.neoxam.com/browse/IMPRESS-27288" xr:uid="{04A6BE4C-9B98-4C23-8977-C0DF7E3E850F}"/>
    <hyperlink ref="C35" r:id="rId34" display="https://support.neoxam.com/browse/IMPRESS-27262" xr:uid="{68D1542E-C3A7-43DF-A7D1-9F82C522573D}"/>
    <hyperlink ref="C36" r:id="rId35" display="https://support.neoxam.com/browse/IMPRESS-27259" xr:uid="{D1A58C28-6F3F-4FF1-A2A0-249145D12773}"/>
    <hyperlink ref="C37" r:id="rId36" display="https://support.neoxam.com/browse/IMPRESS-27251" xr:uid="{B2403950-5B48-4491-869F-BA7A6D3665D7}"/>
    <hyperlink ref="C38" r:id="rId37" display="https://support.neoxam.com/browse/IMPRESS-27250" xr:uid="{8562F81F-8247-45BA-A729-35EC88A9CC19}"/>
    <hyperlink ref="C39" r:id="rId38" display="https://support.neoxam.com/browse/IMPRESS-27230" xr:uid="{6F89BEF6-FFEF-4781-BCF8-3441DC449BD6}"/>
    <hyperlink ref="C40" r:id="rId39" display="https://support.neoxam.com/browse/IMPRESS-27181" xr:uid="{9848C1DC-9D6B-4ABC-B6F0-E347D2F3C3DB}"/>
    <hyperlink ref="C41" r:id="rId40" display="https://support.neoxam.com/browse/IMPRESS-27081" xr:uid="{DB9A9957-3D38-480B-BE72-523B00C42137}"/>
    <hyperlink ref="C42" r:id="rId41" display="https://support.neoxam.com/browse/IMPRESS-27065" xr:uid="{672B1B17-35D1-46A2-B367-34775685A025}"/>
    <hyperlink ref="C43" r:id="rId42" display="https://support.neoxam.com/browse/IMPRESS-26884" xr:uid="{38E573E9-A223-46E8-800E-591792D3EC27}"/>
    <hyperlink ref="C44" r:id="rId43" display="https://support.neoxam.com/browse/IMPRESS-26841" xr:uid="{F61594F9-E4DC-4CAF-92ED-963F0EAB41A5}"/>
    <hyperlink ref="C45" r:id="rId44" display="https://support.neoxam.com/browse/IMPRESS-26720" xr:uid="{4DB88828-E815-4EBD-A1C9-FEA72AF03C6E}"/>
    <hyperlink ref="C46" r:id="rId45" display="https://support.neoxam.com/browse/IMPRESS-26711" xr:uid="{D3E9B2B2-A924-465F-8E81-F7A09A4E12C2}"/>
    <hyperlink ref="C47" r:id="rId46" display="https://support.neoxam.com/browse/IMPRESS-26660" xr:uid="{F5AE62F5-F0D7-4026-9CC3-97E388C77F74}"/>
    <hyperlink ref="C48" r:id="rId47" display="https://support.neoxam.com/browse/IMPRESS-26566" xr:uid="{ACF9B956-59EA-4EE1-BF5E-59EBB8FA6D04}"/>
    <hyperlink ref="C49" r:id="rId48" display="https://support.neoxam.com/browse/IMPRESS-26511" xr:uid="{F2C12F86-E4AA-4932-8565-3AB5B95DBE9F}"/>
    <hyperlink ref="C50" r:id="rId49" display="https://support.neoxam.com/browse/IMPRESS-21729" xr:uid="{FAD80BCF-4FD6-4796-A426-B9FC44566043}"/>
    <hyperlink ref="C51" r:id="rId50" display="https://support.neoxam.com/browse/IMPRESS-19628" xr:uid="{CF3502F7-8265-4BA3-A5CA-27B7EB86E297}"/>
  </hyperlinks>
  <printOptions horizontalCentered="1" verticalCentered="1"/>
  <pageMargins left="0.25" right="0.25" top="0.25" bottom="0.5" header="0.5" footer="0.25"/>
  <pageSetup orientation="landscape" horizontalDpi="0" verticalDpi="0"/>
  <headerFooter>
    <oddFooter>&amp;R&amp;P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F371-64EF-498E-A83F-CCD7E5458CB6}">
  <sheetPr filterMode="1">
    <tabColor theme="5" tint="0.59999389629810485"/>
  </sheetPr>
  <dimension ref="A1:W41"/>
  <sheetViews>
    <sheetView tabSelected="1" workbookViewId="0">
      <selection activeCell="A29" sqref="A29:XFD29"/>
    </sheetView>
  </sheetViews>
  <sheetFormatPr defaultColWidth="8.7109375" defaultRowHeight="14.45"/>
  <cols>
    <col min="1" max="1" width="8.7109375" bestFit="1" customWidth="1"/>
    <col min="5" max="5" width="40.85546875" customWidth="1"/>
    <col min="15" max="15" width="31.42578125" customWidth="1"/>
  </cols>
  <sheetData>
    <row r="1" spans="1:23" ht="42.6">
      <c r="A1" s="7" t="s">
        <v>345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45</v>
      </c>
      <c r="K1" s="8" t="s">
        <v>39</v>
      </c>
      <c r="L1" s="8" t="s">
        <v>40</v>
      </c>
      <c r="M1" s="8" t="s">
        <v>41</v>
      </c>
      <c r="N1" s="8" t="s">
        <v>42</v>
      </c>
      <c r="O1" s="8" t="s">
        <v>43</v>
      </c>
      <c r="P1" s="8" t="s">
        <v>346</v>
      </c>
      <c r="Q1" s="8" t="s">
        <v>44</v>
      </c>
      <c r="R1" s="8" t="s">
        <v>46</v>
      </c>
      <c r="S1" s="8" t="s">
        <v>47</v>
      </c>
      <c r="T1" s="8" t="s">
        <v>48</v>
      </c>
      <c r="U1" s="8" t="s">
        <v>347</v>
      </c>
      <c r="V1" s="8" t="s">
        <v>348</v>
      </c>
    </row>
    <row r="2" spans="1:23" s="46" customFormat="1" ht="43.5" hidden="1">
      <c r="A2" s="14" t="s">
        <v>13</v>
      </c>
      <c r="B2" s="16" t="s">
        <v>89</v>
      </c>
      <c r="C2" s="15" t="s">
        <v>349</v>
      </c>
      <c r="D2" s="16" t="s">
        <v>52</v>
      </c>
      <c r="E2" s="16" t="s">
        <v>350</v>
      </c>
      <c r="F2" s="16" t="s">
        <v>65</v>
      </c>
      <c r="G2" s="16" t="s">
        <v>55</v>
      </c>
      <c r="H2" s="16" t="s">
        <v>93</v>
      </c>
      <c r="I2" s="16" t="s">
        <v>67</v>
      </c>
      <c r="J2" s="16" t="s">
        <v>351</v>
      </c>
      <c r="K2" s="16" t="s">
        <v>58</v>
      </c>
      <c r="L2" s="16" t="s">
        <v>67</v>
      </c>
      <c r="M2" s="16" t="s">
        <v>345</v>
      </c>
      <c r="N2" s="16" t="s">
        <v>352</v>
      </c>
      <c r="O2" s="16" t="s">
        <v>69</v>
      </c>
      <c r="P2" s="16" t="s">
        <v>345</v>
      </c>
      <c r="Q2" s="16" t="s">
        <v>345</v>
      </c>
      <c r="R2" s="16" t="s">
        <v>345</v>
      </c>
      <c r="S2" s="16">
        <v>38700</v>
      </c>
      <c r="T2" s="16" t="s">
        <v>345</v>
      </c>
      <c r="U2" s="16" t="s">
        <v>345</v>
      </c>
      <c r="V2" s="16" t="s">
        <v>345</v>
      </c>
      <c r="W2" s="46" t="s">
        <v>353</v>
      </c>
    </row>
    <row r="3" spans="1:23" s="46" customFormat="1" ht="86.25" hidden="1">
      <c r="A3" s="14" t="s">
        <v>13</v>
      </c>
      <c r="B3" s="16" t="s">
        <v>50</v>
      </c>
      <c r="C3" s="15" t="s">
        <v>51</v>
      </c>
      <c r="D3" s="16" t="s">
        <v>52</v>
      </c>
      <c r="E3" s="16" t="s">
        <v>53</v>
      </c>
      <c r="F3" s="16" t="s">
        <v>54</v>
      </c>
      <c r="G3" s="16" t="s">
        <v>55</v>
      </c>
      <c r="H3" s="16" t="s">
        <v>56</v>
      </c>
      <c r="I3" s="16" t="s">
        <v>57</v>
      </c>
      <c r="J3" s="17">
        <v>46112.78125</v>
      </c>
      <c r="K3" s="16" t="s">
        <v>58</v>
      </c>
      <c r="L3" s="16" t="s">
        <v>59</v>
      </c>
      <c r="M3" s="16" t="s">
        <v>60</v>
      </c>
      <c r="N3" s="16" t="s">
        <v>345</v>
      </c>
      <c r="O3" s="16" t="s">
        <v>69</v>
      </c>
      <c r="P3" s="16" t="s">
        <v>345</v>
      </c>
      <c r="Q3" s="16" t="s">
        <v>345</v>
      </c>
      <c r="R3" s="16" t="s">
        <v>61</v>
      </c>
      <c r="S3" s="16" t="s">
        <v>345</v>
      </c>
      <c r="T3" s="16" t="s">
        <v>345</v>
      </c>
      <c r="U3" s="16" t="s">
        <v>345</v>
      </c>
      <c r="V3" s="16" t="s">
        <v>345</v>
      </c>
    </row>
    <row r="4" spans="1:23" ht="72" hidden="1">
      <c r="A4" s="9" t="s">
        <v>354</v>
      </c>
      <c r="B4" s="11" t="s">
        <v>50</v>
      </c>
      <c r="C4" s="10" t="s">
        <v>63</v>
      </c>
      <c r="D4" s="11" t="s">
        <v>52</v>
      </c>
      <c r="E4" s="11" t="s">
        <v>64</v>
      </c>
      <c r="F4" s="11" t="s">
        <v>65</v>
      </c>
      <c r="G4" s="11" t="s">
        <v>92</v>
      </c>
      <c r="H4" s="11" t="s">
        <v>66</v>
      </c>
      <c r="I4" s="11" t="s">
        <v>67</v>
      </c>
      <c r="J4" s="12">
        <v>46112.706250000003</v>
      </c>
      <c r="K4" s="11" t="s">
        <v>68</v>
      </c>
      <c r="L4" s="11" t="s">
        <v>67</v>
      </c>
      <c r="M4" s="11" t="s">
        <v>345</v>
      </c>
      <c r="N4" s="11" t="s">
        <v>345</v>
      </c>
      <c r="O4" s="11" t="s">
        <v>69</v>
      </c>
      <c r="P4" s="11" t="s">
        <v>345</v>
      </c>
      <c r="Q4" s="11" t="s">
        <v>345</v>
      </c>
      <c r="R4" s="11" t="s">
        <v>355</v>
      </c>
      <c r="S4" s="11" t="s">
        <v>345</v>
      </c>
      <c r="T4" s="11" t="s">
        <v>345</v>
      </c>
      <c r="U4" s="11" t="s">
        <v>345</v>
      </c>
      <c r="V4" s="11" t="s">
        <v>345</v>
      </c>
    </row>
    <row r="5" spans="1:23" ht="115.5" hidden="1">
      <c r="A5" s="9" t="s">
        <v>356</v>
      </c>
      <c r="B5" s="11" t="s">
        <v>71</v>
      </c>
      <c r="C5" s="10" t="s">
        <v>72</v>
      </c>
      <c r="D5" s="11" t="s">
        <v>52</v>
      </c>
      <c r="E5" s="11" t="s">
        <v>73</v>
      </c>
      <c r="F5" s="11" t="s">
        <v>345</v>
      </c>
      <c r="G5" s="11" t="s">
        <v>74</v>
      </c>
      <c r="H5" s="11" t="s">
        <v>66</v>
      </c>
      <c r="I5" s="11" t="s">
        <v>67</v>
      </c>
      <c r="J5" s="12">
        <v>46111.837500000001</v>
      </c>
      <c r="K5" s="11" t="s">
        <v>66</v>
      </c>
      <c r="L5" s="11" t="s">
        <v>67</v>
      </c>
      <c r="M5" s="11" t="s">
        <v>345</v>
      </c>
      <c r="N5" s="11" t="s">
        <v>345</v>
      </c>
      <c r="O5" s="11" t="s">
        <v>69</v>
      </c>
      <c r="P5" s="11" t="s">
        <v>345</v>
      </c>
      <c r="Q5" s="11" t="s">
        <v>345</v>
      </c>
      <c r="R5" s="11" t="s">
        <v>75</v>
      </c>
      <c r="S5" s="11">
        <v>7200</v>
      </c>
      <c r="T5" s="11" t="s">
        <v>345</v>
      </c>
      <c r="U5" s="11" t="s">
        <v>345</v>
      </c>
      <c r="V5" s="11" t="s">
        <v>345</v>
      </c>
    </row>
    <row r="6" spans="1:23" ht="98.45" hidden="1">
      <c r="A6" s="74" t="s">
        <v>13</v>
      </c>
      <c r="B6" s="75" t="s">
        <v>50</v>
      </c>
      <c r="C6" s="76" t="s">
        <v>85</v>
      </c>
      <c r="D6" s="75" t="s">
        <v>52</v>
      </c>
      <c r="E6" s="75" t="s">
        <v>86</v>
      </c>
      <c r="F6" s="75" t="s">
        <v>65</v>
      </c>
      <c r="G6" s="75" t="s">
        <v>79</v>
      </c>
      <c r="H6" s="75" t="s">
        <v>66</v>
      </c>
      <c r="I6" s="75" t="s">
        <v>67</v>
      </c>
      <c r="J6" s="77">
        <v>46108.451388888891</v>
      </c>
      <c r="K6" s="75" t="s">
        <v>81</v>
      </c>
      <c r="L6" s="75" t="s">
        <v>67</v>
      </c>
      <c r="M6" s="75" t="s">
        <v>345</v>
      </c>
      <c r="N6" s="75" t="s">
        <v>345</v>
      </c>
      <c r="O6" s="75" t="s">
        <v>82</v>
      </c>
      <c r="P6" s="75" t="s">
        <v>345</v>
      </c>
      <c r="Q6" s="75" t="s">
        <v>345</v>
      </c>
      <c r="R6" s="75" t="s">
        <v>87</v>
      </c>
      <c r="S6" s="75">
        <v>18000</v>
      </c>
      <c r="T6" s="75" t="s">
        <v>345</v>
      </c>
      <c r="U6" s="75" t="s">
        <v>345</v>
      </c>
      <c r="V6" s="75" t="s">
        <v>345</v>
      </c>
    </row>
    <row r="7" spans="1:23" ht="43.5" hidden="1">
      <c r="A7" s="9" t="s">
        <v>357</v>
      </c>
      <c r="B7" s="11" t="s">
        <v>89</v>
      </c>
      <c r="C7" s="10" t="s">
        <v>90</v>
      </c>
      <c r="D7" s="11" t="s">
        <v>52</v>
      </c>
      <c r="E7" s="11" t="s">
        <v>91</v>
      </c>
      <c r="F7" s="11" t="s">
        <v>54</v>
      </c>
      <c r="G7" s="11" t="s">
        <v>92</v>
      </c>
      <c r="H7" s="11" t="s">
        <v>93</v>
      </c>
      <c r="I7" s="11" t="s">
        <v>67</v>
      </c>
      <c r="J7" s="12">
        <v>46107.42083333333</v>
      </c>
      <c r="K7" s="11" t="s">
        <v>66</v>
      </c>
      <c r="L7" s="11" t="s">
        <v>67</v>
      </c>
      <c r="M7" s="11" t="s">
        <v>345</v>
      </c>
      <c r="N7" s="11" t="s">
        <v>345</v>
      </c>
      <c r="O7" s="11" t="s">
        <v>69</v>
      </c>
      <c r="P7" s="11" t="s">
        <v>345</v>
      </c>
      <c r="Q7" s="11" t="s">
        <v>345</v>
      </c>
      <c r="R7" s="11" t="s">
        <v>72</v>
      </c>
      <c r="S7" s="11">
        <v>39600</v>
      </c>
      <c r="T7" s="11" t="s">
        <v>345</v>
      </c>
      <c r="U7" s="11" t="s">
        <v>345</v>
      </c>
      <c r="V7" s="11" t="s">
        <v>345</v>
      </c>
    </row>
    <row r="8" spans="1:23" ht="42.6" hidden="1">
      <c r="A8" s="9" t="s">
        <v>358</v>
      </c>
      <c r="B8" s="11" t="s">
        <v>100</v>
      </c>
      <c r="C8" s="10" t="s">
        <v>359</v>
      </c>
      <c r="D8" s="11" t="s">
        <v>52</v>
      </c>
      <c r="E8" s="11" t="s">
        <v>360</v>
      </c>
      <c r="F8" s="11" t="s">
        <v>65</v>
      </c>
      <c r="G8" s="11" t="s">
        <v>79</v>
      </c>
      <c r="H8" s="11" t="s">
        <v>93</v>
      </c>
      <c r="I8" s="11" t="s">
        <v>67</v>
      </c>
      <c r="J8" s="12">
        <v>46105.355555555558</v>
      </c>
      <c r="K8" s="11" t="s">
        <v>66</v>
      </c>
      <c r="L8" s="11" t="s">
        <v>67</v>
      </c>
      <c r="M8" s="11" t="s">
        <v>345</v>
      </c>
      <c r="N8" s="11" t="s">
        <v>345</v>
      </c>
      <c r="O8" s="11" t="s">
        <v>69</v>
      </c>
      <c r="P8" s="11" t="s">
        <v>345</v>
      </c>
      <c r="Q8" s="11" t="s">
        <v>345</v>
      </c>
      <c r="R8" s="11" t="s">
        <v>345</v>
      </c>
      <c r="S8" s="11">
        <v>69300</v>
      </c>
      <c r="T8" s="11" t="s">
        <v>345</v>
      </c>
      <c r="U8" s="11" t="s">
        <v>345</v>
      </c>
      <c r="V8" s="11" t="s">
        <v>345</v>
      </c>
      <c r="W8" t="s">
        <v>361</v>
      </c>
    </row>
    <row r="9" spans="1:23" ht="43.5" hidden="1">
      <c r="A9" s="14" t="s">
        <v>362</v>
      </c>
      <c r="B9" s="16" t="s">
        <v>71</v>
      </c>
      <c r="C9" s="15" t="s">
        <v>363</v>
      </c>
      <c r="D9" s="16" t="s">
        <v>52</v>
      </c>
      <c r="E9" s="16" t="s">
        <v>364</v>
      </c>
      <c r="F9" s="16" t="s">
        <v>65</v>
      </c>
      <c r="G9" s="16" t="s">
        <v>55</v>
      </c>
      <c r="H9" s="16" t="s">
        <v>93</v>
      </c>
      <c r="I9" s="16" t="s">
        <v>67</v>
      </c>
      <c r="J9" s="17">
        <v>46104.698611111111</v>
      </c>
      <c r="K9" s="16" t="s">
        <v>68</v>
      </c>
      <c r="L9" s="16" t="s">
        <v>67</v>
      </c>
      <c r="M9" s="16" t="s">
        <v>345</v>
      </c>
      <c r="N9" s="16" t="s">
        <v>345</v>
      </c>
      <c r="O9" s="16" t="s">
        <v>69</v>
      </c>
      <c r="P9" s="16" t="s">
        <v>345</v>
      </c>
      <c r="Q9" s="16" t="s">
        <v>345</v>
      </c>
      <c r="R9" s="16" t="s">
        <v>345</v>
      </c>
      <c r="S9" s="16">
        <v>43200</v>
      </c>
      <c r="T9" s="16" t="s">
        <v>345</v>
      </c>
      <c r="U9" s="16" t="s">
        <v>345</v>
      </c>
      <c r="V9" s="16" t="s">
        <v>345</v>
      </c>
    </row>
    <row r="10" spans="1:23" ht="86.25" hidden="1">
      <c r="A10" s="9" t="s">
        <v>365</v>
      </c>
      <c r="B10" s="11" t="s">
        <v>50</v>
      </c>
      <c r="C10" s="10" t="s">
        <v>109</v>
      </c>
      <c r="D10" s="11" t="s">
        <v>52</v>
      </c>
      <c r="E10" s="11" t="s">
        <v>110</v>
      </c>
      <c r="F10" s="11" t="s">
        <v>65</v>
      </c>
      <c r="G10" s="11" t="s">
        <v>55</v>
      </c>
      <c r="H10" s="11" t="s">
        <v>56</v>
      </c>
      <c r="I10" s="11" t="s">
        <v>67</v>
      </c>
      <c r="J10" s="12">
        <v>46099.634027777778</v>
      </c>
      <c r="K10" s="11" t="s">
        <v>68</v>
      </c>
      <c r="L10" s="11" t="s">
        <v>67</v>
      </c>
      <c r="M10" s="11" t="s">
        <v>345</v>
      </c>
      <c r="N10" s="11" t="s">
        <v>345</v>
      </c>
      <c r="O10" s="11" t="s">
        <v>69</v>
      </c>
      <c r="P10" s="11" t="s">
        <v>345</v>
      </c>
      <c r="Q10" s="11" t="s">
        <v>345</v>
      </c>
      <c r="R10" s="11" t="s">
        <v>111</v>
      </c>
      <c r="S10" s="11">
        <v>27900</v>
      </c>
      <c r="T10" s="11" t="s">
        <v>345</v>
      </c>
      <c r="U10" s="11" t="s">
        <v>345</v>
      </c>
      <c r="V10" s="11" t="s">
        <v>345</v>
      </c>
    </row>
    <row r="11" spans="1:23" ht="43.5" hidden="1">
      <c r="A11" s="9" t="s">
        <v>365</v>
      </c>
      <c r="B11" s="11" t="s">
        <v>50</v>
      </c>
      <c r="C11" s="10" t="s">
        <v>366</v>
      </c>
      <c r="D11" s="11" t="s">
        <v>52</v>
      </c>
      <c r="E11" s="11" t="s">
        <v>367</v>
      </c>
      <c r="F11" s="11" t="s">
        <v>65</v>
      </c>
      <c r="G11" s="11" t="s">
        <v>92</v>
      </c>
      <c r="H11" s="11" t="s">
        <v>56</v>
      </c>
      <c r="I11" s="11" t="s">
        <v>67</v>
      </c>
      <c r="J11" s="12">
        <v>46098.456944444442</v>
      </c>
      <c r="K11" s="11" t="s">
        <v>288</v>
      </c>
      <c r="L11" s="11" t="s">
        <v>67</v>
      </c>
      <c r="M11" s="11" t="s">
        <v>345</v>
      </c>
      <c r="N11" s="11" t="s">
        <v>345</v>
      </c>
      <c r="O11" s="11" t="s">
        <v>69</v>
      </c>
      <c r="P11" s="11" t="s">
        <v>345</v>
      </c>
      <c r="Q11" s="11" t="s">
        <v>345</v>
      </c>
      <c r="R11" s="11" t="s">
        <v>368</v>
      </c>
      <c r="S11" s="11">
        <v>10800</v>
      </c>
      <c r="T11" s="11" t="s">
        <v>345</v>
      </c>
      <c r="U11" s="11" t="s">
        <v>345</v>
      </c>
      <c r="V11" s="11" t="s">
        <v>345</v>
      </c>
    </row>
    <row r="12" spans="1:23" ht="43.5" hidden="1">
      <c r="A12" s="9" t="s">
        <v>369</v>
      </c>
      <c r="B12" s="11" t="s">
        <v>100</v>
      </c>
      <c r="C12" s="10" t="s">
        <v>112</v>
      </c>
      <c r="D12" s="11" t="s">
        <v>52</v>
      </c>
      <c r="E12" s="11" t="s">
        <v>113</v>
      </c>
      <c r="F12" s="11" t="s">
        <v>54</v>
      </c>
      <c r="G12" s="11" t="s">
        <v>55</v>
      </c>
      <c r="H12" s="11" t="s">
        <v>93</v>
      </c>
      <c r="I12" s="11" t="s">
        <v>67</v>
      </c>
      <c r="J12" s="12">
        <v>46098.425694444442</v>
      </c>
      <c r="K12" s="11" t="s">
        <v>114</v>
      </c>
      <c r="L12" s="11" t="s">
        <v>67</v>
      </c>
      <c r="M12" s="11" t="s">
        <v>345</v>
      </c>
      <c r="N12" s="11" t="s">
        <v>345</v>
      </c>
      <c r="O12" s="11" t="s">
        <v>82</v>
      </c>
      <c r="P12" s="11" t="s">
        <v>345</v>
      </c>
      <c r="Q12" s="11" t="s">
        <v>345</v>
      </c>
      <c r="R12" s="11" t="s">
        <v>115</v>
      </c>
      <c r="S12" s="11">
        <v>113400</v>
      </c>
      <c r="T12" s="11" t="s">
        <v>345</v>
      </c>
      <c r="U12" s="11" t="s">
        <v>345</v>
      </c>
      <c r="V12" s="11" t="s">
        <v>345</v>
      </c>
    </row>
    <row r="13" spans="1:23" ht="56.45" hidden="1">
      <c r="A13" s="74" t="s">
        <v>13</v>
      </c>
      <c r="B13" s="75" t="s">
        <v>50</v>
      </c>
      <c r="C13" s="76" t="s">
        <v>117</v>
      </c>
      <c r="D13" s="75" t="s">
        <v>52</v>
      </c>
      <c r="E13" s="75" t="s">
        <v>118</v>
      </c>
      <c r="F13" s="75" t="s">
        <v>65</v>
      </c>
      <c r="G13" s="75" t="s">
        <v>79</v>
      </c>
      <c r="H13" s="75" t="s">
        <v>119</v>
      </c>
      <c r="I13" s="75" t="s">
        <v>67</v>
      </c>
      <c r="J13" s="77">
        <v>46097.661805555559</v>
      </c>
      <c r="K13" s="75" t="s">
        <v>81</v>
      </c>
      <c r="L13" s="75" t="s">
        <v>67</v>
      </c>
      <c r="M13" s="75" t="s">
        <v>120</v>
      </c>
      <c r="N13" s="75" t="s">
        <v>345</v>
      </c>
      <c r="O13" s="75" t="s">
        <v>82</v>
      </c>
      <c r="P13" s="75" t="s">
        <v>345</v>
      </c>
      <c r="Q13" s="75" t="s">
        <v>345</v>
      </c>
      <c r="R13" s="75" t="s">
        <v>121</v>
      </c>
      <c r="S13" s="75">
        <v>21600</v>
      </c>
      <c r="T13" s="75" t="s">
        <v>345</v>
      </c>
      <c r="U13" s="75" t="s">
        <v>345</v>
      </c>
      <c r="V13" s="75" t="s">
        <v>345</v>
      </c>
    </row>
    <row r="14" spans="1:23" ht="43.5" hidden="1">
      <c r="A14" s="9" t="s">
        <v>365</v>
      </c>
      <c r="B14" s="11" t="s">
        <v>71</v>
      </c>
      <c r="C14" s="10" t="s">
        <v>122</v>
      </c>
      <c r="D14" s="11" t="s">
        <v>52</v>
      </c>
      <c r="E14" s="11" t="s">
        <v>123</v>
      </c>
      <c r="F14" s="11" t="s">
        <v>65</v>
      </c>
      <c r="G14" s="11" t="s">
        <v>74</v>
      </c>
      <c r="H14" s="11" t="s">
        <v>93</v>
      </c>
      <c r="I14" s="11" t="s">
        <v>67</v>
      </c>
      <c r="J14" s="12">
        <v>46097.5</v>
      </c>
      <c r="K14" s="11" t="s">
        <v>114</v>
      </c>
      <c r="L14" s="11" t="s">
        <v>67</v>
      </c>
      <c r="M14" s="11" t="s">
        <v>124</v>
      </c>
      <c r="N14" s="11" t="s">
        <v>345</v>
      </c>
      <c r="O14" s="11" t="s">
        <v>69</v>
      </c>
      <c r="P14" s="11" t="s">
        <v>345</v>
      </c>
      <c r="Q14" s="11" t="s">
        <v>345</v>
      </c>
      <c r="R14" s="11" t="s">
        <v>125</v>
      </c>
      <c r="S14" s="11">
        <v>98100</v>
      </c>
      <c r="T14" s="11" t="s">
        <v>345</v>
      </c>
      <c r="U14" s="11" t="s">
        <v>345</v>
      </c>
      <c r="V14" s="11" t="s">
        <v>345</v>
      </c>
    </row>
    <row r="15" spans="1:23" s="46" customFormat="1" ht="42.6" hidden="1">
      <c r="A15" s="14" t="s">
        <v>370</v>
      </c>
      <c r="B15" s="16" t="s">
        <v>50</v>
      </c>
      <c r="C15" s="15" t="s">
        <v>371</v>
      </c>
      <c r="D15" s="16" t="s">
        <v>52</v>
      </c>
      <c r="E15" s="16" t="s">
        <v>372</v>
      </c>
      <c r="F15" s="16" t="s">
        <v>54</v>
      </c>
      <c r="G15" s="16" t="s">
        <v>79</v>
      </c>
      <c r="H15" s="16" t="s">
        <v>119</v>
      </c>
      <c r="I15" s="16" t="s">
        <v>67</v>
      </c>
      <c r="J15" s="17">
        <v>46094.56527777778</v>
      </c>
      <c r="K15" s="16" t="s">
        <v>114</v>
      </c>
      <c r="L15" s="16" t="s">
        <v>67</v>
      </c>
      <c r="M15" s="16" t="s">
        <v>373</v>
      </c>
      <c r="N15" s="16" t="s">
        <v>345</v>
      </c>
      <c r="O15" s="16" t="s">
        <v>69</v>
      </c>
      <c r="P15" s="16" t="s">
        <v>345</v>
      </c>
      <c r="Q15" s="16" t="s">
        <v>345</v>
      </c>
      <c r="R15" s="16" t="s">
        <v>345</v>
      </c>
      <c r="S15" s="16">
        <v>119700</v>
      </c>
      <c r="T15" s="16" t="s">
        <v>345</v>
      </c>
      <c r="U15" s="16" t="s">
        <v>345</v>
      </c>
      <c r="V15" s="16" t="s">
        <v>345</v>
      </c>
    </row>
    <row r="16" spans="1:23" ht="43.5">
      <c r="A16" s="78" t="s">
        <v>165</v>
      </c>
      <c r="B16" s="79" t="s">
        <v>89</v>
      </c>
      <c r="C16" s="80" t="s">
        <v>146</v>
      </c>
      <c r="D16" s="79" t="s">
        <v>147</v>
      </c>
      <c r="E16" s="79" t="s">
        <v>148</v>
      </c>
      <c r="F16" s="79" t="s">
        <v>345</v>
      </c>
      <c r="G16" s="79" t="s">
        <v>79</v>
      </c>
      <c r="H16" s="79" t="s">
        <v>149</v>
      </c>
      <c r="I16" s="79" t="s">
        <v>17</v>
      </c>
      <c r="J16" s="81">
        <v>46087.384027777778</v>
      </c>
      <c r="K16" s="79" t="s">
        <v>132</v>
      </c>
      <c r="L16" s="79" t="s">
        <v>67</v>
      </c>
      <c r="M16" s="79" t="s">
        <v>345</v>
      </c>
      <c r="N16" s="79" t="s">
        <v>345</v>
      </c>
      <c r="O16" s="79" t="s">
        <v>69</v>
      </c>
      <c r="P16" s="79" t="s">
        <v>345</v>
      </c>
      <c r="Q16" s="79" t="s">
        <v>345</v>
      </c>
      <c r="R16" s="79" t="s">
        <v>150</v>
      </c>
      <c r="S16" s="79">
        <v>62100</v>
      </c>
      <c r="T16" s="79" t="s">
        <v>345</v>
      </c>
      <c r="U16" s="79" t="s">
        <v>345</v>
      </c>
      <c r="V16" s="79" t="s">
        <v>345</v>
      </c>
    </row>
    <row r="17" spans="1:22" ht="56.45" hidden="1">
      <c r="A17" s="74" t="s">
        <v>13</v>
      </c>
      <c r="B17" s="75" t="s">
        <v>100</v>
      </c>
      <c r="C17" s="76" t="s">
        <v>374</v>
      </c>
      <c r="D17" s="75" t="s">
        <v>137</v>
      </c>
      <c r="E17" s="75" t="s">
        <v>153</v>
      </c>
      <c r="F17" s="75" t="s">
        <v>54</v>
      </c>
      <c r="G17" s="75" t="s">
        <v>97</v>
      </c>
      <c r="H17" s="75" t="s">
        <v>129</v>
      </c>
      <c r="I17" s="75" t="s">
        <v>139</v>
      </c>
      <c r="J17" s="77">
        <v>46086.782638888886</v>
      </c>
      <c r="K17" s="75" t="s">
        <v>129</v>
      </c>
      <c r="L17" s="75" t="s">
        <v>154</v>
      </c>
      <c r="M17" s="75" t="s">
        <v>155</v>
      </c>
      <c r="N17" s="75" t="s">
        <v>345</v>
      </c>
      <c r="O17" s="75" t="s">
        <v>142</v>
      </c>
      <c r="P17" s="75" t="s">
        <v>345</v>
      </c>
      <c r="Q17" s="75" t="s">
        <v>345</v>
      </c>
      <c r="R17" s="75" t="s">
        <v>345</v>
      </c>
      <c r="S17" s="75">
        <v>14400</v>
      </c>
      <c r="T17" s="75" t="s">
        <v>144</v>
      </c>
      <c r="U17" s="75" t="s">
        <v>345</v>
      </c>
      <c r="V17" s="75" t="s">
        <v>345</v>
      </c>
    </row>
    <row r="18" spans="1:22" ht="168.6" hidden="1">
      <c r="A18" s="74" t="s">
        <v>13</v>
      </c>
      <c r="B18" s="75" t="s">
        <v>71</v>
      </c>
      <c r="C18" s="76" t="s">
        <v>171</v>
      </c>
      <c r="D18" s="75" t="s">
        <v>137</v>
      </c>
      <c r="E18" s="75" t="s">
        <v>172</v>
      </c>
      <c r="F18" s="75" t="s">
        <v>65</v>
      </c>
      <c r="G18" s="75" t="s">
        <v>79</v>
      </c>
      <c r="H18" s="75" t="s">
        <v>149</v>
      </c>
      <c r="I18" s="75" t="s">
        <v>173</v>
      </c>
      <c r="J18" s="75" t="s">
        <v>175</v>
      </c>
      <c r="K18" s="75" t="s">
        <v>114</v>
      </c>
      <c r="L18" s="75" t="s">
        <v>67</v>
      </c>
      <c r="M18" s="75" t="s">
        <v>174</v>
      </c>
      <c r="N18" s="75" t="s">
        <v>345</v>
      </c>
      <c r="O18" s="75" t="s">
        <v>69</v>
      </c>
      <c r="P18" s="75" t="s">
        <v>345</v>
      </c>
      <c r="Q18" s="75" t="s">
        <v>345</v>
      </c>
      <c r="R18" s="75" t="s">
        <v>375</v>
      </c>
      <c r="S18" s="75">
        <v>43200</v>
      </c>
      <c r="T18" s="75" t="s">
        <v>177</v>
      </c>
      <c r="U18" s="75" t="s">
        <v>345</v>
      </c>
      <c r="V18" s="75" t="s">
        <v>345</v>
      </c>
    </row>
    <row r="19" spans="1:22" ht="42.6" hidden="1">
      <c r="A19" s="74" t="s">
        <v>13</v>
      </c>
      <c r="B19" s="75" t="s">
        <v>71</v>
      </c>
      <c r="C19" s="76" t="s">
        <v>183</v>
      </c>
      <c r="D19" s="75" t="s">
        <v>52</v>
      </c>
      <c r="E19" s="75" t="s">
        <v>184</v>
      </c>
      <c r="F19" s="75" t="s">
        <v>65</v>
      </c>
      <c r="G19" s="75" t="s">
        <v>79</v>
      </c>
      <c r="H19" s="75" t="s">
        <v>66</v>
      </c>
      <c r="I19" s="75" t="s">
        <v>160</v>
      </c>
      <c r="J19" s="75" t="s">
        <v>185</v>
      </c>
      <c r="K19" s="75" t="s">
        <v>68</v>
      </c>
      <c r="L19" s="75" t="s">
        <v>67</v>
      </c>
      <c r="M19" s="75" t="s">
        <v>345</v>
      </c>
      <c r="N19" s="75" t="s">
        <v>345</v>
      </c>
      <c r="O19" s="75" t="s">
        <v>69</v>
      </c>
      <c r="P19" s="75" t="s">
        <v>345</v>
      </c>
      <c r="Q19" s="75" t="s">
        <v>345</v>
      </c>
      <c r="R19" s="75" t="s">
        <v>345</v>
      </c>
      <c r="S19" s="75">
        <v>27000</v>
      </c>
      <c r="T19" s="75" t="s">
        <v>345</v>
      </c>
      <c r="U19" s="75" t="s">
        <v>345</v>
      </c>
      <c r="V19" s="75" t="s">
        <v>345</v>
      </c>
    </row>
    <row r="20" spans="1:22" s="46" customFormat="1" ht="201.75" hidden="1">
      <c r="A20" s="14" t="s">
        <v>13</v>
      </c>
      <c r="B20" s="16" t="s">
        <v>71</v>
      </c>
      <c r="C20" s="15" t="s">
        <v>187</v>
      </c>
      <c r="D20" s="16" t="s">
        <v>137</v>
      </c>
      <c r="E20" s="16" t="s">
        <v>188</v>
      </c>
      <c r="F20" s="16" t="s">
        <v>65</v>
      </c>
      <c r="G20" s="16" t="s">
        <v>55</v>
      </c>
      <c r="H20" s="16" t="s">
        <v>103</v>
      </c>
      <c r="I20" s="16" t="s">
        <v>17</v>
      </c>
      <c r="J20" s="16" t="s">
        <v>189</v>
      </c>
      <c r="K20" s="16" t="s">
        <v>68</v>
      </c>
      <c r="L20" s="16" t="s">
        <v>59</v>
      </c>
      <c r="M20" s="16" t="s">
        <v>345</v>
      </c>
      <c r="N20" s="16" t="s">
        <v>345</v>
      </c>
      <c r="O20" s="16" t="s">
        <v>69</v>
      </c>
      <c r="P20" s="16" t="s">
        <v>345</v>
      </c>
      <c r="Q20" s="16" t="s">
        <v>345</v>
      </c>
      <c r="R20" s="16" t="s">
        <v>190</v>
      </c>
      <c r="S20" s="16">
        <v>97200</v>
      </c>
      <c r="T20" s="16" t="s">
        <v>162</v>
      </c>
      <c r="U20" s="16" t="s">
        <v>345</v>
      </c>
      <c r="V20" s="16" t="s">
        <v>345</v>
      </c>
    </row>
    <row r="21" spans="1:22" ht="101.25" hidden="1">
      <c r="A21" s="9" t="s">
        <v>376</v>
      </c>
      <c r="B21" s="11" t="s">
        <v>100</v>
      </c>
      <c r="C21" s="10" t="s">
        <v>192</v>
      </c>
      <c r="D21" s="11" t="s">
        <v>52</v>
      </c>
      <c r="E21" s="11" t="s">
        <v>193</v>
      </c>
      <c r="F21" s="11" t="s">
        <v>65</v>
      </c>
      <c r="G21" s="11" t="s">
        <v>92</v>
      </c>
      <c r="H21" s="11" t="s">
        <v>194</v>
      </c>
      <c r="I21" s="11" t="s">
        <v>160</v>
      </c>
      <c r="J21" s="11" t="s">
        <v>196</v>
      </c>
      <c r="K21" s="11" t="s">
        <v>149</v>
      </c>
      <c r="L21" s="11" t="s">
        <v>67</v>
      </c>
      <c r="M21" s="11" t="s">
        <v>174</v>
      </c>
      <c r="N21" s="11" t="s">
        <v>194</v>
      </c>
      <c r="O21" s="11" t="s">
        <v>195</v>
      </c>
      <c r="P21" s="11" t="s">
        <v>345</v>
      </c>
      <c r="Q21" s="11" t="s">
        <v>345</v>
      </c>
      <c r="R21" s="11" t="s">
        <v>197</v>
      </c>
      <c r="S21" s="11">
        <v>22500</v>
      </c>
      <c r="T21" s="11" t="s">
        <v>170</v>
      </c>
      <c r="U21" s="11" t="s">
        <v>345</v>
      </c>
      <c r="V21" s="11" t="s">
        <v>345</v>
      </c>
    </row>
    <row r="22" spans="1:22" s="88" customFormat="1" ht="154.5" hidden="1">
      <c r="A22" s="85" t="s">
        <v>345</v>
      </c>
      <c r="B22" s="86" t="s">
        <v>50</v>
      </c>
      <c r="C22" s="87" t="s">
        <v>211</v>
      </c>
      <c r="D22" s="86" t="s">
        <v>52</v>
      </c>
      <c r="E22" s="86" t="s">
        <v>212</v>
      </c>
      <c r="F22" s="86" t="s">
        <v>65</v>
      </c>
      <c r="G22" s="86" t="s">
        <v>79</v>
      </c>
      <c r="H22" s="86" t="s">
        <v>66</v>
      </c>
      <c r="I22" s="86" t="s">
        <v>67</v>
      </c>
      <c r="J22" s="86" t="s">
        <v>213</v>
      </c>
      <c r="K22" s="86" t="s">
        <v>68</v>
      </c>
      <c r="L22" s="86" t="s">
        <v>67</v>
      </c>
      <c r="M22" s="86" t="s">
        <v>60</v>
      </c>
      <c r="N22" s="86" t="s">
        <v>345</v>
      </c>
      <c r="O22" s="86" t="s">
        <v>69</v>
      </c>
      <c r="P22" s="86" t="s">
        <v>345</v>
      </c>
      <c r="Q22" s="86" t="s">
        <v>345</v>
      </c>
      <c r="R22" s="86" t="s">
        <v>345</v>
      </c>
      <c r="S22" s="86">
        <v>19800</v>
      </c>
      <c r="T22" s="86" t="s">
        <v>214</v>
      </c>
      <c r="U22" s="86" t="s">
        <v>345</v>
      </c>
      <c r="V22" s="86" t="s">
        <v>345</v>
      </c>
    </row>
    <row r="23" spans="1:22" ht="168.6" hidden="1">
      <c r="A23" s="106" t="s">
        <v>377</v>
      </c>
      <c r="B23" s="107" t="s">
        <v>100</v>
      </c>
      <c r="C23" s="108" t="s">
        <v>216</v>
      </c>
      <c r="D23" s="107" t="s">
        <v>52</v>
      </c>
      <c r="E23" s="107" t="s">
        <v>217</v>
      </c>
      <c r="F23" s="107" t="s">
        <v>54</v>
      </c>
      <c r="G23" s="107" t="s">
        <v>79</v>
      </c>
      <c r="H23" s="107" t="s">
        <v>119</v>
      </c>
      <c r="I23" s="107" t="s">
        <v>160</v>
      </c>
      <c r="J23" s="107" t="s">
        <v>219</v>
      </c>
      <c r="K23" s="107" t="s">
        <v>66</v>
      </c>
      <c r="L23" s="107" t="s">
        <v>67</v>
      </c>
      <c r="M23" s="107" t="s">
        <v>345</v>
      </c>
      <c r="N23" s="107" t="s">
        <v>119</v>
      </c>
      <c r="O23" s="107" t="s">
        <v>218</v>
      </c>
      <c r="P23" s="107" t="s">
        <v>352</v>
      </c>
      <c r="Q23" s="107" t="s">
        <v>345</v>
      </c>
      <c r="R23" s="107" t="s">
        <v>220</v>
      </c>
      <c r="S23" s="107">
        <v>28800</v>
      </c>
      <c r="T23" s="107" t="s">
        <v>221</v>
      </c>
      <c r="U23" s="107" t="s">
        <v>345</v>
      </c>
      <c r="V23" s="107" t="s">
        <v>345</v>
      </c>
    </row>
    <row r="24" spans="1:22" ht="72" hidden="1">
      <c r="A24" s="9" t="s">
        <v>362</v>
      </c>
      <c r="B24" s="11" t="s">
        <v>89</v>
      </c>
      <c r="C24" s="10" t="s">
        <v>223</v>
      </c>
      <c r="D24" s="11" t="s">
        <v>137</v>
      </c>
      <c r="E24" s="11" t="s">
        <v>224</v>
      </c>
      <c r="F24" s="11" t="s">
        <v>65</v>
      </c>
      <c r="G24" s="11" t="s">
        <v>55</v>
      </c>
      <c r="H24" s="11" t="s">
        <v>206</v>
      </c>
      <c r="I24" s="11" t="s">
        <v>173</v>
      </c>
      <c r="J24" s="12">
        <v>46043.643055555556</v>
      </c>
      <c r="K24" s="11" t="s">
        <v>103</v>
      </c>
      <c r="L24" s="11" t="s">
        <v>67</v>
      </c>
      <c r="M24" s="11" t="s">
        <v>174</v>
      </c>
      <c r="N24" s="11" t="s">
        <v>93</v>
      </c>
      <c r="O24" s="11" t="s">
        <v>104</v>
      </c>
      <c r="P24" s="11" t="s">
        <v>345</v>
      </c>
      <c r="Q24" s="11" t="s">
        <v>345</v>
      </c>
      <c r="R24" s="11" t="s">
        <v>378</v>
      </c>
      <c r="S24" s="11" t="s">
        <v>345</v>
      </c>
      <c r="T24" s="11" t="s">
        <v>345</v>
      </c>
      <c r="U24" s="11" t="s">
        <v>345</v>
      </c>
      <c r="V24" s="11" t="s">
        <v>345</v>
      </c>
    </row>
    <row r="25" spans="1:22" ht="347.25" hidden="1">
      <c r="A25" s="9" t="s">
        <v>379</v>
      </c>
      <c r="B25" s="11" t="s">
        <v>89</v>
      </c>
      <c r="C25" s="10" t="s">
        <v>226</v>
      </c>
      <c r="D25" s="11" t="s">
        <v>147</v>
      </c>
      <c r="E25" s="11" t="s">
        <v>227</v>
      </c>
      <c r="F25" s="11" t="s">
        <v>345</v>
      </c>
      <c r="G25" s="11" t="s">
        <v>55</v>
      </c>
      <c r="H25" s="11" t="s">
        <v>228</v>
      </c>
      <c r="I25" s="11" t="s">
        <v>173</v>
      </c>
      <c r="J25" s="12">
        <v>46041.63958333333</v>
      </c>
      <c r="K25" s="11" t="s">
        <v>129</v>
      </c>
      <c r="L25" s="11" t="s">
        <v>67</v>
      </c>
      <c r="M25" s="11" t="s">
        <v>229</v>
      </c>
      <c r="N25" s="11" t="s">
        <v>345</v>
      </c>
      <c r="O25" s="11" t="s">
        <v>230</v>
      </c>
      <c r="P25" s="11" t="s">
        <v>345</v>
      </c>
      <c r="Q25" s="11" t="s">
        <v>345</v>
      </c>
      <c r="R25" s="11" t="s">
        <v>231</v>
      </c>
      <c r="S25" s="11">
        <v>328500</v>
      </c>
      <c r="T25" s="11" t="s">
        <v>232</v>
      </c>
      <c r="U25" s="11" t="s">
        <v>345</v>
      </c>
      <c r="V25" s="11" t="s">
        <v>345</v>
      </c>
    </row>
    <row r="26" spans="1:22" s="110" customFormat="1" ht="70.5" hidden="1">
      <c r="A26" s="106" t="s">
        <v>380</v>
      </c>
      <c r="B26" s="107" t="s">
        <v>89</v>
      </c>
      <c r="C26" s="108" t="s">
        <v>233</v>
      </c>
      <c r="D26" s="107" t="s">
        <v>147</v>
      </c>
      <c r="E26" s="107" t="s">
        <v>234</v>
      </c>
      <c r="F26" s="107" t="s">
        <v>345</v>
      </c>
      <c r="G26" s="107" t="s">
        <v>97</v>
      </c>
      <c r="H26" s="107" t="s">
        <v>228</v>
      </c>
      <c r="I26" s="107" t="s">
        <v>173</v>
      </c>
      <c r="J26" s="109">
        <v>46031.411805555559</v>
      </c>
      <c r="K26" s="107" t="s">
        <v>129</v>
      </c>
      <c r="L26" s="107" t="s">
        <v>67</v>
      </c>
      <c r="M26" s="107" t="s">
        <v>235</v>
      </c>
      <c r="N26" s="107" t="s">
        <v>345</v>
      </c>
      <c r="O26" s="107" t="s">
        <v>236</v>
      </c>
      <c r="P26" s="107" t="s">
        <v>345</v>
      </c>
      <c r="Q26" s="107" t="s">
        <v>345</v>
      </c>
      <c r="R26" s="107" t="s">
        <v>237</v>
      </c>
      <c r="S26" s="107">
        <v>162900</v>
      </c>
      <c r="T26" s="107" t="s">
        <v>238</v>
      </c>
      <c r="U26" s="107" t="s">
        <v>345</v>
      </c>
      <c r="V26" s="107" t="s">
        <v>345</v>
      </c>
    </row>
    <row r="27" spans="1:22" s="46" customFormat="1" ht="294.60000000000002" hidden="1">
      <c r="A27" s="14" t="s">
        <v>381</v>
      </c>
      <c r="B27" s="16" t="s">
        <v>135</v>
      </c>
      <c r="C27" s="15" t="s">
        <v>247</v>
      </c>
      <c r="D27" s="16" t="s">
        <v>52</v>
      </c>
      <c r="E27" s="16" t="s">
        <v>248</v>
      </c>
      <c r="F27" s="16" t="s">
        <v>54</v>
      </c>
      <c r="G27" s="16" t="s">
        <v>79</v>
      </c>
      <c r="H27" s="16" t="s">
        <v>249</v>
      </c>
      <c r="I27" s="16" t="s">
        <v>160</v>
      </c>
      <c r="J27" s="16" t="s">
        <v>250</v>
      </c>
      <c r="K27" s="16" t="s">
        <v>81</v>
      </c>
      <c r="L27" s="16" t="s">
        <v>67</v>
      </c>
      <c r="M27" s="16" t="s">
        <v>60</v>
      </c>
      <c r="N27" s="16" t="s">
        <v>119</v>
      </c>
      <c r="O27" s="16" t="s">
        <v>82</v>
      </c>
      <c r="P27" s="16" t="s">
        <v>345</v>
      </c>
      <c r="Q27" s="16" t="s">
        <v>345</v>
      </c>
      <c r="R27" s="16" t="s">
        <v>251</v>
      </c>
      <c r="S27" s="16">
        <v>41400</v>
      </c>
      <c r="T27" s="16" t="s">
        <v>252</v>
      </c>
      <c r="U27" s="16" t="s">
        <v>345</v>
      </c>
      <c r="V27" s="16" t="s">
        <v>345</v>
      </c>
    </row>
    <row r="28" spans="1:22" ht="42.6" hidden="1">
      <c r="A28" s="9" t="s">
        <v>345</v>
      </c>
      <c r="B28" s="11" t="s">
        <v>89</v>
      </c>
      <c r="C28" s="10" t="s">
        <v>253</v>
      </c>
      <c r="D28" s="11" t="s">
        <v>147</v>
      </c>
      <c r="E28" s="11" t="s">
        <v>254</v>
      </c>
      <c r="F28" s="11" t="s">
        <v>345</v>
      </c>
      <c r="G28" s="11" t="s">
        <v>79</v>
      </c>
      <c r="H28" s="11" t="s">
        <v>200</v>
      </c>
      <c r="I28" s="11" t="s">
        <v>173</v>
      </c>
      <c r="J28" s="11" t="s">
        <v>256</v>
      </c>
      <c r="K28" s="11" t="s">
        <v>81</v>
      </c>
      <c r="L28" s="11" t="s">
        <v>67</v>
      </c>
      <c r="M28" s="11" t="s">
        <v>345</v>
      </c>
      <c r="N28" s="11" t="s">
        <v>345</v>
      </c>
      <c r="O28" s="11" t="s">
        <v>255</v>
      </c>
      <c r="P28" s="11" t="s">
        <v>345</v>
      </c>
      <c r="Q28" s="11" t="s">
        <v>345</v>
      </c>
      <c r="R28" s="11" t="s">
        <v>257</v>
      </c>
      <c r="S28" s="11">
        <v>36000</v>
      </c>
      <c r="T28" s="11" t="s">
        <v>345</v>
      </c>
      <c r="U28" s="11" t="s">
        <v>345</v>
      </c>
      <c r="V28" s="11" t="s">
        <v>345</v>
      </c>
    </row>
    <row r="29" spans="1:22" s="219" customFormat="1" ht="84.6">
      <c r="A29" s="216" t="s">
        <v>382</v>
      </c>
      <c r="B29" s="217" t="s">
        <v>100</v>
      </c>
      <c r="C29" s="218" t="s">
        <v>259</v>
      </c>
      <c r="D29" s="217" t="s">
        <v>147</v>
      </c>
      <c r="E29" s="217" t="s">
        <v>260</v>
      </c>
      <c r="F29" s="217" t="s">
        <v>345</v>
      </c>
      <c r="G29" s="217" t="s">
        <v>79</v>
      </c>
      <c r="H29" s="217" t="s">
        <v>261</v>
      </c>
      <c r="I29" s="217" t="s">
        <v>173</v>
      </c>
      <c r="J29" s="217" t="s">
        <v>264</v>
      </c>
      <c r="K29" s="217" t="s">
        <v>114</v>
      </c>
      <c r="L29" s="217" t="s">
        <v>67</v>
      </c>
      <c r="M29" s="217" t="s">
        <v>262</v>
      </c>
      <c r="N29" s="217" t="s">
        <v>345</v>
      </c>
      <c r="O29" s="217" t="s">
        <v>263</v>
      </c>
      <c r="P29" s="217" t="s">
        <v>345</v>
      </c>
      <c r="Q29" s="217" t="s">
        <v>345</v>
      </c>
      <c r="R29" s="217" t="s">
        <v>265</v>
      </c>
      <c r="S29" s="217">
        <v>14400</v>
      </c>
      <c r="T29" s="217" t="s">
        <v>170</v>
      </c>
      <c r="U29" s="217" t="s">
        <v>345</v>
      </c>
      <c r="V29" s="217" t="s">
        <v>345</v>
      </c>
    </row>
    <row r="30" spans="1:22" ht="308.45" hidden="1">
      <c r="A30" s="84" t="s">
        <v>383</v>
      </c>
      <c r="B30" s="11" t="s">
        <v>71</v>
      </c>
      <c r="C30" s="10" t="s">
        <v>267</v>
      </c>
      <c r="D30" s="11" t="s">
        <v>147</v>
      </c>
      <c r="E30" s="11" t="s">
        <v>268</v>
      </c>
      <c r="F30" s="11" t="s">
        <v>345</v>
      </c>
      <c r="G30" s="11" t="s">
        <v>55</v>
      </c>
      <c r="H30" s="11" t="s">
        <v>261</v>
      </c>
      <c r="I30" s="11" t="s">
        <v>173</v>
      </c>
      <c r="J30" s="11" t="s">
        <v>269</v>
      </c>
      <c r="K30" s="11" t="s">
        <v>68</v>
      </c>
      <c r="L30" s="11" t="s">
        <v>67</v>
      </c>
      <c r="M30" s="11" t="s">
        <v>60</v>
      </c>
      <c r="N30" s="11" t="s">
        <v>345</v>
      </c>
      <c r="O30" s="11" t="s">
        <v>69</v>
      </c>
      <c r="P30" s="11" t="s">
        <v>345</v>
      </c>
      <c r="Q30" s="11" t="s">
        <v>345</v>
      </c>
      <c r="R30" s="11" t="s">
        <v>270</v>
      </c>
      <c r="S30" s="11">
        <v>10800</v>
      </c>
      <c r="T30" s="11" t="s">
        <v>271</v>
      </c>
      <c r="U30" s="11" t="s">
        <v>345</v>
      </c>
      <c r="V30" s="11" t="s">
        <v>345</v>
      </c>
    </row>
    <row r="31" spans="1:22" s="92" customFormat="1" ht="84.6" hidden="1">
      <c r="A31" s="89" t="s">
        <v>365</v>
      </c>
      <c r="B31" s="90" t="s">
        <v>71</v>
      </c>
      <c r="C31" s="91" t="s">
        <v>273</v>
      </c>
      <c r="D31" s="90" t="s">
        <v>137</v>
      </c>
      <c r="E31" s="90" t="s">
        <v>274</v>
      </c>
      <c r="F31" s="90" t="s">
        <v>65</v>
      </c>
      <c r="G31" s="90" t="s">
        <v>97</v>
      </c>
      <c r="H31" s="90" t="s">
        <v>275</v>
      </c>
      <c r="I31" s="90" t="s">
        <v>173</v>
      </c>
      <c r="J31" s="90" t="s">
        <v>277</v>
      </c>
      <c r="K31" s="90" t="s">
        <v>129</v>
      </c>
      <c r="L31" s="90" t="s">
        <v>67</v>
      </c>
      <c r="M31" s="90" t="s">
        <v>235</v>
      </c>
      <c r="N31" s="90" t="s">
        <v>93</v>
      </c>
      <c r="O31" s="90" t="s">
        <v>276</v>
      </c>
      <c r="P31" s="90" t="s">
        <v>345</v>
      </c>
      <c r="Q31" s="90" t="s">
        <v>345</v>
      </c>
      <c r="R31" s="90" t="s">
        <v>278</v>
      </c>
      <c r="S31" s="90">
        <v>30600</v>
      </c>
      <c r="T31" s="90" t="s">
        <v>279</v>
      </c>
      <c r="U31" s="90" t="s">
        <v>345</v>
      </c>
      <c r="V31" s="90" t="s">
        <v>345</v>
      </c>
    </row>
    <row r="32" spans="1:22" ht="70.5" hidden="1">
      <c r="A32" s="2"/>
      <c r="B32" s="9" t="s">
        <v>89</v>
      </c>
      <c r="C32" s="10" t="s">
        <v>286</v>
      </c>
      <c r="D32" s="11" t="s">
        <v>147</v>
      </c>
      <c r="E32" s="11" t="s">
        <v>287</v>
      </c>
      <c r="F32" s="11" t="s">
        <v>345</v>
      </c>
      <c r="G32" s="11" t="s">
        <v>79</v>
      </c>
      <c r="H32" s="11" t="s">
        <v>288</v>
      </c>
      <c r="I32" s="11" t="s">
        <v>17</v>
      </c>
      <c r="J32" s="12">
        <v>45985.44027777778</v>
      </c>
      <c r="K32" s="11" t="s">
        <v>81</v>
      </c>
      <c r="L32" s="11" t="s">
        <v>67</v>
      </c>
      <c r="M32" s="11" t="s">
        <v>345</v>
      </c>
      <c r="N32" s="11" t="s">
        <v>56</v>
      </c>
      <c r="O32" s="11" t="s">
        <v>82</v>
      </c>
      <c r="P32" s="11" t="s">
        <v>345</v>
      </c>
      <c r="Q32" s="11" t="s">
        <v>345</v>
      </c>
      <c r="R32" s="11" t="s">
        <v>345</v>
      </c>
      <c r="S32" s="11">
        <v>10800</v>
      </c>
      <c r="T32" s="11" t="s">
        <v>289</v>
      </c>
      <c r="U32" s="11" t="s">
        <v>345</v>
      </c>
      <c r="V32" s="11" t="s">
        <v>345</v>
      </c>
    </row>
    <row r="33" spans="1:22" s="110" customFormat="1" ht="405" hidden="1">
      <c r="A33" s="125" t="s">
        <v>384</v>
      </c>
      <c r="B33" s="106" t="s">
        <v>71</v>
      </c>
      <c r="C33" s="108" t="s">
        <v>290</v>
      </c>
      <c r="D33" s="107" t="s">
        <v>137</v>
      </c>
      <c r="E33" s="107" t="s">
        <v>291</v>
      </c>
      <c r="F33" s="107" t="s">
        <v>65</v>
      </c>
      <c r="G33" s="107" t="s">
        <v>55</v>
      </c>
      <c r="H33" s="107" t="s">
        <v>261</v>
      </c>
      <c r="I33" s="107" t="s">
        <v>292</v>
      </c>
      <c r="J33" s="109">
        <v>45980.481944444444</v>
      </c>
      <c r="K33" s="107" t="s">
        <v>129</v>
      </c>
      <c r="L33" s="107" t="s">
        <v>67</v>
      </c>
      <c r="M33" s="107" t="s">
        <v>235</v>
      </c>
      <c r="N33" s="107" t="s">
        <v>345</v>
      </c>
      <c r="O33" s="107" t="s">
        <v>69</v>
      </c>
      <c r="P33" s="107" t="s">
        <v>345</v>
      </c>
      <c r="Q33" s="107" t="s">
        <v>345</v>
      </c>
      <c r="R33" s="107" t="s">
        <v>293</v>
      </c>
      <c r="S33" s="107">
        <v>28800</v>
      </c>
      <c r="T33" s="107" t="s">
        <v>294</v>
      </c>
      <c r="U33" s="107" t="s">
        <v>345</v>
      </c>
      <c r="V33" s="107" t="s">
        <v>345</v>
      </c>
    </row>
    <row r="34" spans="1:22" s="92" customFormat="1" ht="70.5" hidden="1">
      <c r="A34" s="101" t="s">
        <v>385</v>
      </c>
      <c r="B34" s="90" t="s">
        <v>89</v>
      </c>
      <c r="C34" s="91" t="s">
        <v>295</v>
      </c>
      <c r="D34" s="90" t="s">
        <v>52</v>
      </c>
      <c r="E34" s="90" t="s">
        <v>296</v>
      </c>
      <c r="F34" s="90" t="s">
        <v>65</v>
      </c>
      <c r="G34" s="90" t="s">
        <v>79</v>
      </c>
      <c r="H34" s="90" t="s">
        <v>56</v>
      </c>
      <c r="I34" s="90" t="s">
        <v>297</v>
      </c>
      <c r="J34" s="102">
        <v>45961.520138888889</v>
      </c>
      <c r="K34" s="90" t="s">
        <v>68</v>
      </c>
      <c r="L34" s="90" t="s">
        <v>67</v>
      </c>
      <c r="M34" s="90" t="s">
        <v>60</v>
      </c>
      <c r="N34" s="90" t="s">
        <v>345</v>
      </c>
      <c r="O34" s="90" t="s">
        <v>69</v>
      </c>
      <c r="P34" s="90" t="s">
        <v>345</v>
      </c>
      <c r="Q34" s="90" t="s">
        <v>345</v>
      </c>
      <c r="R34" s="90" t="s">
        <v>298</v>
      </c>
      <c r="S34" s="90">
        <v>25200</v>
      </c>
      <c r="T34" s="90" t="s">
        <v>289</v>
      </c>
      <c r="U34" s="90" t="s">
        <v>345</v>
      </c>
      <c r="V34" s="90" t="s">
        <v>345</v>
      </c>
    </row>
    <row r="35" spans="1:22" ht="101.25">
      <c r="A35" s="9" t="s">
        <v>165</v>
      </c>
      <c r="B35" s="11" t="s">
        <v>135</v>
      </c>
      <c r="C35" s="10" t="s">
        <v>309</v>
      </c>
      <c r="D35" s="11" t="s">
        <v>137</v>
      </c>
      <c r="E35" s="11" t="s">
        <v>310</v>
      </c>
      <c r="F35" s="11" t="s">
        <v>65</v>
      </c>
      <c r="G35" s="11" t="s">
        <v>79</v>
      </c>
      <c r="H35" s="11" t="s">
        <v>200</v>
      </c>
      <c r="I35" s="11" t="s">
        <v>345</v>
      </c>
      <c r="J35" s="12">
        <v>45944.620833333334</v>
      </c>
      <c r="K35" s="11" t="s">
        <v>66</v>
      </c>
      <c r="L35" s="11" t="s">
        <v>67</v>
      </c>
      <c r="M35" s="11" t="s">
        <v>208</v>
      </c>
      <c r="N35" s="11" t="s">
        <v>345</v>
      </c>
      <c r="O35" s="11" t="s">
        <v>311</v>
      </c>
      <c r="P35" s="11" t="s">
        <v>345</v>
      </c>
      <c r="Q35" s="11" t="s">
        <v>345</v>
      </c>
      <c r="R35" s="11" t="s">
        <v>312</v>
      </c>
      <c r="S35" s="11">
        <v>54900</v>
      </c>
      <c r="T35" s="11" t="s">
        <v>345</v>
      </c>
      <c r="U35" s="11" t="s">
        <v>345</v>
      </c>
      <c r="V35" s="11" t="s">
        <v>345</v>
      </c>
    </row>
    <row r="36" spans="1:22" ht="294.60000000000002">
      <c r="A36" s="9" t="s">
        <v>239</v>
      </c>
      <c r="B36" s="11" t="s">
        <v>89</v>
      </c>
      <c r="C36" s="10" t="s">
        <v>313</v>
      </c>
      <c r="D36" s="11" t="s">
        <v>147</v>
      </c>
      <c r="E36" s="11" t="s">
        <v>314</v>
      </c>
      <c r="F36" s="11" t="s">
        <v>345</v>
      </c>
      <c r="G36" s="11" t="s">
        <v>79</v>
      </c>
      <c r="H36" s="11" t="s">
        <v>58</v>
      </c>
      <c r="I36" s="11" t="s">
        <v>173</v>
      </c>
      <c r="J36" s="12">
        <v>45939.331250000003</v>
      </c>
      <c r="K36" s="11" t="s">
        <v>58</v>
      </c>
      <c r="L36" s="11" t="s">
        <v>67</v>
      </c>
      <c r="M36" s="11" t="s">
        <v>345</v>
      </c>
      <c r="N36" s="11" t="s">
        <v>345</v>
      </c>
      <c r="O36" s="11" t="s">
        <v>69</v>
      </c>
      <c r="P36" s="11" t="s">
        <v>345</v>
      </c>
      <c r="Q36" s="11" t="s">
        <v>345</v>
      </c>
      <c r="R36" s="11" t="s">
        <v>315</v>
      </c>
      <c r="S36" s="11">
        <v>90900</v>
      </c>
      <c r="T36" s="11" t="s">
        <v>316</v>
      </c>
      <c r="U36" s="11" t="s">
        <v>345</v>
      </c>
      <c r="V36" s="11" t="s">
        <v>345</v>
      </c>
    </row>
    <row r="37" spans="1:22" ht="322.5" hidden="1">
      <c r="A37" s="78" t="s">
        <v>386</v>
      </c>
      <c r="B37" s="79" t="s">
        <v>100</v>
      </c>
      <c r="C37" s="80" t="s">
        <v>317</v>
      </c>
      <c r="D37" s="79" t="s">
        <v>137</v>
      </c>
      <c r="E37" s="79" t="s">
        <v>318</v>
      </c>
      <c r="F37" s="79" t="s">
        <v>65</v>
      </c>
      <c r="G37" s="79" t="s">
        <v>79</v>
      </c>
      <c r="H37" s="79" t="s">
        <v>275</v>
      </c>
      <c r="I37" s="79" t="s">
        <v>292</v>
      </c>
      <c r="J37" s="81">
        <v>45933.707638888889</v>
      </c>
      <c r="K37" s="79" t="s">
        <v>319</v>
      </c>
      <c r="L37" s="79" t="s">
        <v>67</v>
      </c>
      <c r="M37" s="79" t="s">
        <v>320</v>
      </c>
      <c r="N37" s="79" t="s">
        <v>119</v>
      </c>
      <c r="O37" s="79" t="s">
        <v>263</v>
      </c>
      <c r="P37" s="79" t="s">
        <v>345</v>
      </c>
      <c r="Q37" s="79" t="s">
        <v>345</v>
      </c>
      <c r="R37" s="79" t="s">
        <v>321</v>
      </c>
      <c r="S37" s="79">
        <v>90000</v>
      </c>
      <c r="T37" s="79" t="s">
        <v>322</v>
      </c>
      <c r="U37" s="79" t="s">
        <v>345</v>
      </c>
      <c r="V37" s="79" t="s">
        <v>345</v>
      </c>
    </row>
    <row r="38" spans="1:22" s="146" customFormat="1" ht="405">
      <c r="A38" s="142" t="s">
        <v>387</v>
      </c>
      <c r="B38" s="143" t="s">
        <v>135</v>
      </c>
      <c r="C38" s="144" t="s">
        <v>176</v>
      </c>
      <c r="D38" s="143" t="s">
        <v>137</v>
      </c>
      <c r="E38" s="143" t="s">
        <v>325</v>
      </c>
      <c r="F38" s="143" t="s">
        <v>65</v>
      </c>
      <c r="G38" s="143" t="s">
        <v>79</v>
      </c>
      <c r="H38" s="143" t="s">
        <v>200</v>
      </c>
      <c r="I38" s="143" t="s">
        <v>292</v>
      </c>
      <c r="J38" s="145">
        <v>45930.381944444445</v>
      </c>
      <c r="K38" s="143" t="s">
        <v>132</v>
      </c>
      <c r="L38" s="143" t="s">
        <v>67</v>
      </c>
      <c r="M38" s="143" t="s">
        <v>174</v>
      </c>
      <c r="N38" s="143" t="s">
        <v>194</v>
      </c>
      <c r="O38" s="143" t="s">
        <v>263</v>
      </c>
      <c r="P38" s="143" t="s">
        <v>345</v>
      </c>
      <c r="Q38" s="143" t="s">
        <v>345</v>
      </c>
      <c r="R38" s="143" t="s">
        <v>388</v>
      </c>
      <c r="S38" s="143">
        <v>58500</v>
      </c>
      <c r="T38" s="143" t="s">
        <v>327</v>
      </c>
      <c r="U38" s="143" t="s">
        <v>345</v>
      </c>
      <c r="V38" s="143" t="s">
        <v>345</v>
      </c>
    </row>
    <row r="39" spans="1:22" ht="168.6" hidden="1">
      <c r="A39" s="135" t="s">
        <v>389</v>
      </c>
      <c r="B39" s="9" t="s">
        <v>71</v>
      </c>
      <c r="C39" s="10" t="s">
        <v>335</v>
      </c>
      <c r="D39" s="11" t="s">
        <v>137</v>
      </c>
      <c r="E39" s="11" t="s">
        <v>336</v>
      </c>
      <c r="F39" s="11" t="s">
        <v>65</v>
      </c>
      <c r="G39" s="11" t="s">
        <v>97</v>
      </c>
      <c r="H39" s="11" t="s">
        <v>337</v>
      </c>
      <c r="I39" s="11" t="s">
        <v>338</v>
      </c>
      <c r="J39" s="11" t="s">
        <v>341</v>
      </c>
      <c r="K39" s="11" t="s">
        <v>339</v>
      </c>
      <c r="L39" s="11" t="s">
        <v>67</v>
      </c>
      <c r="M39" s="11" t="s">
        <v>235</v>
      </c>
      <c r="N39" s="11" t="s">
        <v>345</v>
      </c>
      <c r="O39" s="11" t="s">
        <v>340</v>
      </c>
      <c r="P39" s="11" t="s">
        <v>390</v>
      </c>
      <c r="Q39" s="11" t="s">
        <v>345</v>
      </c>
      <c r="R39" s="11" t="s">
        <v>342</v>
      </c>
      <c r="S39" s="11">
        <v>158400</v>
      </c>
      <c r="T39" s="11" t="s">
        <v>343</v>
      </c>
      <c r="U39" s="11" t="s">
        <v>345</v>
      </c>
      <c r="V39" s="11" t="s">
        <v>345</v>
      </c>
    </row>
    <row r="40" spans="1:22" ht="140.25" hidden="1" customHeight="1">
      <c r="A40" s="2"/>
      <c r="B40" s="206" t="s">
        <v>391</v>
      </c>
      <c r="C40" s="207"/>
      <c r="D40" s="207"/>
      <c r="E40" s="207"/>
      <c r="F40" s="207"/>
      <c r="G40" s="207"/>
      <c r="H40" s="207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8"/>
    </row>
    <row r="41" spans="1:22" ht="15"/>
  </sheetData>
  <autoFilter ref="A1:V40" xr:uid="{3E2AF371-64EF-498E-A83F-CCD7E5458CB6}">
    <filterColumn colId="0">
      <filters>
        <filter val="Rania"/>
        <filter val="Rania : point à faire avec Ghada"/>
        <filter val="Rania/ ajout fichier sql de la part de kalthoum"/>
        <filter val="Rania: en cours"/>
      </filters>
    </filterColumn>
  </autoFilter>
  <mergeCells count="1">
    <mergeCell ref="B40:V40"/>
  </mergeCells>
  <hyperlinks>
    <hyperlink ref="C2" r:id="rId1" xr:uid="{A043B345-8E5D-48F8-AC6D-0F69DDD1C244}"/>
    <hyperlink ref="C3" r:id="rId2" xr:uid="{E3208D6D-4C2B-494C-A46C-8160A04F1B5D}"/>
    <hyperlink ref="C4" r:id="rId3" xr:uid="{A5BA660A-1A00-4298-BBE8-7FD4A97A6E9B}"/>
    <hyperlink ref="C5" r:id="rId4" xr:uid="{FD97707E-8A94-4FDC-808E-544BAE63E2F3}"/>
    <hyperlink ref="C6" r:id="rId5" xr:uid="{C071A624-3A38-4319-B1F1-9026114D7CC0}"/>
    <hyperlink ref="C7" r:id="rId6" xr:uid="{FDEA064D-D2EB-4631-9A01-0836FBBECEA7}"/>
    <hyperlink ref="C8" r:id="rId7" xr:uid="{E45FF88E-7DB8-4B1C-B03C-BAF811A444B2}"/>
    <hyperlink ref="C9" r:id="rId8" xr:uid="{B56C9FF4-7001-45C1-AFEA-3D5617F7B723}"/>
    <hyperlink ref="C10" r:id="rId9" xr:uid="{03FE9251-3F01-4DCA-A772-9D3EF7A51622}"/>
    <hyperlink ref="C11" r:id="rId10" xr:uid="{47BC28BC-A813-401B-A4DC-DB552400DAD7}"/>
    <hyperlink ref="C12" r:id="rId11" xr:uid="{90D21FD7-9854-4192-AADD-6341F14D3A87}"/>
    <hyperlink ref="C13" r:id="rId12" xr:uid="{777DAD8B-E5E1-4603-9B54-4F257FDB8D48}"/>
    <hyperlink ref="C14" r:id="rId13" xr:uid="{5A29F318-0DBB-41C4-84A1-5E47C52C8090}"/>
    <hyperlink ref="C15" r:id="rId14" xr:uid="{D93D8A36-395A-4FCC-868E-3EE0C105B7D6}"/>
    <hyperlink ref="C16" r:id="rId15" xr:uid="{11EEAAC1-691E-4D9F-A9FB-65A05A9D5E0F}"/>
    <hyperlink ref="C17" r:id="rId16" xr:uid="{5CB09BD8-6B1F-4077-9FB8-8E229992A18C}"/>
    <hyperlink ref="C18" r:id="rId17" xr:uid="{72A6DCF0-3F3B-41BD-A2DF-2A2F956485A2}"/>
    <hyperlink ref="C19" r:id="rId18" xr:uid="{21F5C653-15CD-4DB8-9ECE-3F5CB06038C2}"/>
    <hyperlink ref="C20" r:id="rId19" xr:uid="{028B2670-020C-46E5-BC18-51BC048B956D}"/>
    <hyperlink ref="C21" r:id="rId20" xr:uid="{74FE6441-5F63-473D-BFF4-14523707A61D}"/>
    <hyperlink ref="C22" r:id="rId21" xr:uid="{D63CD51A-10EE-480D-90C4-71F4488FCF6F}"/>
    <hyperlink ref="C23" r:id="rId22" xr:uid="{45218CE3-90E6-4077-BC47-7F5FD2D2DBF0}"/>
    <hyperlink ref="C24" r:id="rId23" xr:uid="{9CD73BC4-8CC7-49ED-9B94-B479C1C77A20}"/>
    <hyperlink ref="C25" r:id="rId24" xr:uid="{0799E069-B062-4782-B384-7C36F21C1BBE}"/>
    <hyperlink ref="C26" r:id="rId25" xr:uid="{47891810-8D89-40BC-ABA2-D2BDD24B6E75}"/>
    <hyperlink ref="C27" r:id="rId26" xr:uid="{F3847FD1-7530-40C7-BC91-EBCFB136FF9B}"/>
    <hyperlink ref="C28" r:id="rId27" xr:uid="{3E22C294-358E-4572-9796-FFE967717229}"/>
    <hyperlink ref="C29" r:id="rId28" xr:uid="{1E5A083C-6277-4F05-AAF3-DCC68BDA8F9D}"/>
    <hyperlink ref="C30" r:id="rId29" xr:uid="{9F737AFD-316F-4312-8368-801FF7075B38}"/>
    <hyperlink ref="C31" r:id="rId30" xr:uid="{E5BAA4B6-1210-43F7-9DB5-3A2D9597D6D5}"/>
    <hyperlink ref="C32" r:id="rId31" xr:uid="{B8BC24E0-9DA4-4519-86EF-402422EB14D4}"/>
    <hyperlink ref="C33" r:id="rId32" xr:uid="{FDBFD1EF-1CB5-40FB-8672-BEB974CB9B8A}"/>
    <hyperlink ref="C34" r:id="rId33" xr:uid="{F15B0B57-AB9D-4473-AFAF-6D11DA08EE42}"/>
    <hyperlink ref="C35" r:id="rId34" xr:uid="{E5188445-F7B6-46F6-877F-76032003D70F}"/>
    <hyperlink ref="C36" r:id="rId35" xr:uid="{17996C1D-2E9F-401B-A47C-E2FB4BCFBC19}"/>
    <hyperlink ref="C37" r:id="rId36" xr:uid="{CE9E1474-41E8-49B8-B067-C27D384F9F88}"/>
    <hyperlink ref="C38" r:id="rId37" xr:uid="{6099074E-06B2-4E84-B5DE-8AF390233293}"/>
    <hyperlink ref="C39" r:id="rId38" xr:uid="{6C633554-1179-4814-81B9-F087C6CC45D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DF8F-A3F4-4529-A8C3-2BDDA30E14DB}">
  <sheetPr>
    <tabColor rgb="FF38A7AB"/>
  </sheetPr>
  <dimension ref="A1:N41"/>
  <sheetViews>
    <sheetView topLeftCell="A34" workbookViewId="0">
      <selection activeCell="G39" sqref="G39"/>
    </sheetView>
  </sheetViews>
  <sheetFormatPr defaultColWidth="8.7109375" defaultRowHeight="14.45"/>
  <cols>
    <col min="2" max="2" width="14" customWidth="1"/>
    <col min="3" max="3" width="34.7109375" customWidth="1"/>
    <col min="4" max="4" width="29" customWidth="1"/>
    <col min="5" max="5" width="22.7109375" customWidth="1"/>
    <col min="6" max="6" width="17.85546875" customWidth="1"/>
    <col min="7" max="7" width="25.42578125" customWidth="1"/>
    <col min="8" max="8" width="15.28515625" customWidth="1"/>
    <col min="9" max="9" width="57.28515625" customWidth="1"/>
    <col min="10" max="10" width="25.28515625" customWidth="1"/>
  </cols>
  <sheetData>
    <row r="1" spans="1:14" ht="35.1">
      <c r="A1" s="18" t="s">
        <v>392</v>
      </c>
      <c r="B1" s="18" t="s">
        <v>393</v>
      </c>
      <c r="C1" s="18" t="s">
        <v>394</v>
      </c>
      <c r="D1" s="18" t="s">
        <v>395</v>
      </c>
      <c r="E1" s="18" t="s">
        <v>396</v>
      </c>
      <c r="F1" s="19" t="s">
        <v>397</v>
      </c>
      <c r="G1" s="19" t="s">
        <v>398</v>
      </c>
      <c r="H1" s="19" t="s">
        <v>42</v>
      </c>
      <c r="I1" s="19" t="s">
        <v>399</v>
      </c>
      <c r="J1" s="20" t="s">
        <v>400</v>
      </c>
    </row>
    <row r="2" spans="1:14" ht="17.45">
      <c r="A2" s="21" t="s">
        <v>401</v>
      </c>
      <c r="B2" s="22" t="s">
        <v>402</v>
      </c>
      <c r="C2" s="21" t="s">
        <v>403</v>
      </c>
      <c r="D2" s="21" t="s">
        <v>404</v>
      </c>
      <c r="E2" s="23" t="s">
        <v>405</v>
      </c>
      <c r="F2" s="24"/>
      <c r="G2" s="24"/>
      <c r="H2" s="24"/>
      <c r="I2" s="24"/>
      <c r="J2" s="25"/>
    </row>
    <row r="3" spans="1:14" ht="17.45">
      <c r="A3" s="21" t="s">
        <v>401</v>
      </c>
      <c r="B3" s="22" t="s">
        <v>345</v>
      </c>
      <c r="C3" s="21" t="s">
        <v>406</v>
      </c>
      <c r="D3" s="21" t="s">
        <v>407</v>
      </c>
      <c r="E3" s="23" t="s">
        <v>408</v>
      </c>
      <c r="F3" s="24" t="s">
        <v>13</v>
      </c>
      <c r="G3" s="24" t="s">
        <v>13</v>
      </c>
      <c r="H3" s="24" t="s">
        <v>222</v>
      </c>
      <c r="I3" s="24"/>
      <c r="J3" s="31" t="s">
        <v>409</v>
      </c>
      <c r="M3">
        <v>4</v>
      </c>
      <c r="N3">
        <v>40</v>
      </c>
    </row>
    <row r="4" spans="1:14" ht="17.45">
      <c r="A4" s="21" t="s">
        <v>401</v>
      </c>
      <c r="B4" s="26" t="s">
        <v>410</v>
      </c>
      <c r="C4" s="27" t="s">
        <v>411</v>
      </c>
      <c r="D4" s="27" t="s">
        <v>412</v>
      </c>
      <c r="E4" s="27" t="s">
        <v>413</v>
      </c>
      <c r="F4" s="24"/>
      <c r="G4" s="24"/>
      <c r="H4" t="s">
        <v>116</v>
      </c>
      <c r="I4" s="28"/>
      <c r="J4" s="31" t="s">
        <v>409</v>
      </c>
    </row>
    <row r="5" spans="1:14" ht="17.45">
      <c r="A5" s="21" t="s">
        <v>401</v>
      </c>
      <c r="B5" s="26" t="s">
        <v>345</v>
      </c>
      <c r="C5" s="27" t="s">
        <v>414</v>
      </c>
      <c r="D5" s="27" t="s">
        <v>407</v>
      </c>
      <c r="E5" s="27" t="s">
        <v>415</v>
      </c>
      <c r="F5" s="24" t="s">
        <v>13</v>
      </c>
      <c r="G5" s="24"/>
      <c r="H5" s="28"/>
      <c r="I5" s="29"/>
      <c r="J5" s="25"/>
    </row>
    <row r="6" spans="1:14" ht="17.45">
      <c r="A6" s="21" t="s">
        <v>401</v>
      </c>
      <c r="B6" s="26" t="s">
        <v>416</v>
      </c>
      <c r="C6" s="30" t="s">
        <v>417</v>
      </c>
      <c r="D6" s="27" t="s">
        <v>404</v>
      </c>
      <c r="E6" s="27" t="s">
        <v>418</v>
      </c>
      <c r="F6" s="24"/>
      <c r="G6" s="24"/>
      <c r="H6" s="24" t="s">
        <v>116</v>
      </c>
      <c r="I6" s="24"/>
      <c r="J6" s="21" t="s">
        <v>409</v>
      </c>
    </row>
    <row r="7" spans="1:14" ht="17.45">
      <c r="A7" s="21" t="s">
        <v>401</v>
      </c>
      <c r="B7" s="26" t="s">
        <v>345</v>
      </c>
      <c r="C7" s="27" t="s">
        <v>406</v>
      </c>
      <c r="D7" s="27" t="s">
        <v>407</v>
      </c>
      <c r="E7" s="27" t="s">
        <v>419</v>
      </c>
      <c r="F7" s="24"/>
      <c r="G7" s="24"/>
      <c r="H7" s="24" t="s">
        <v>370</v>
      </c>
      <c r="I7" s="24"/>
      <c r="J7" s="21"/>
    </row>
    <row r="8" spans="1:14" ht="17.45">
      <c r="A8" s="21" t="s">
        <v>401</v>
      </c>
      <c r="B8" s="26" t="s">
        <v>420</v>
      </c>
      <c r="C8" s="27" t="s">
        <v>406</v>
      </c>
      <c r="D8" s="27" t="s">
        <v>421</v>
      </c>
      <c r="E8" s="27" t="s">
        <v>422</v>
      </c>
      <c r="F8" s="24" t="s">
        <v>13</v>
      </c>
      <c r="G8" s="24"/>
      <c r="H8" s="24" t="s">
        <v>423</v>
      </c>
      <c r="I8" s="24"/>
      <c r="J8" s="31" t="s">
        <v>409</v>
      </c>
    </row>
    <row r="9" spans="1:14" ht="17.45">
      <c r="A9" s="21" t="s">
        <v>401</v>
      </c>
      <c r="B9" s="26"/>
      <c r="C9" s="27" t="s">
        <v>424</v>
      </c>
      <c r="D9" s="27" t="s">
        <v>404</v>
      </c>
      <c r="E9" s="27" t="s">
        <v>422</v>
      </c>
      <c r="F9" s="24"/>
      <c r="G9" s="24"/>
      <c r="H9" s="24"/>
      <c r="I9" s="24"/>
      <c r="J9" s="21"/>
    </row>
    <row r="10" spans="1:14" ht="17.45">
      <c r="A10" s="21" t="s">
        <v>401</v>
      </c>
      <c r="B10" s="26" t="s">
        <v>425</v>
      </c>
      <c r="C10" s="27" t="s">
        <v>426</v>
      </c>
      <c r="D10" s="27" t="s">
        <v>404</v>
      </c>
      <c r="E10" s="27" t="s">
        <v>427</v>
      </c>
      <c r="F10" s="24"/>
      <c r="G10" s="24"/>
      <c r="H10" s="24" t="s">
        <v>428</v>
      </c>
      <c r="I10" s="24"/>
      <c r="J10" s="21"/>
    </row>
    <row r="11" spans="1:14" ht="17.45">
      <c r="A11" s="21" t="s">
        <v>401</v>
      </c>
      <c r="B11" s="26" t="s">
        <v>345</v>
      </c>
      <c r="C11" s="27" t="s">
        <v>406</v>
      </c>
      <c r="D11" s="27" t="s">
        <v>407</v>
      </c>
      <c r="E11" s="27" t="s">
        <v>429</v>
      </c>
      <c r="F11" s="24" t="s">
        <v>13</v>
      </c>
      <c r="G11" s="24"/>
      <c r="H11" s="24" t="s">
        <v>430</v>
      </c>
      <c r="I11" s="24"/>
      <c r="J11" s="21"/>
    </row>
    <row r="12" spans="1:14" ht="17.45">
      <c r="A12" s="21" t="s">
        <v>401</v>
      </c>
      <c r="B12" s="26" t="s">
        <v>431</v>
      </c>
      <c r="C12" s="27" t="s">
        <v>426</v>
      </c>
      <c r="D12" s="27" t="s">
        <v>404</v>
      </c>
      <c r="E12" s="27" t="s">
        <v>432</v>
      </c>
      <c r="F12" s="24"/>
      <c r="G12" s="24"/>
      <c r="H12" s="24"/>
      <c r="I12" s="24"/>
      <c r="J12" s="21"/>
    </row>
    <row r="13" spans="1:14" ht="17.45">
      <c r="A13" s="21" t="s">
        <v>401</v>
      </c>
      <c r="B13" s="26" t="s">
        <v>345</v>
      </c>
      <c r="C13" s="27" t="s">
        <v>406</v>
      </c>
      <c r="D13" s="27" t="s">
        <v>421</v>
      </c>
      <c r="E13" s="27" t="s">
        <v>433</v>
      </c>
      <c r="F13" s="24"/>
      <c r="G13" s="24"/>
      <c r="H13" s="32"/>
      <c r="I13" s="32"/>
      <c r="J13" s="21"/>
    </row>
    <row r="14" spans="1:14" ht="17.45">
      <c r="A14" s="21" t="s">
        <v>401</v>
      </c>
      <c r="B14" s="26" t="s">
        <v>434</v>
      </c>
      <c r="C14" s="27" t="s">
        <v>435</v>
      </c>
      <c r="D14" s="27" t="s">
        <v>412</v>
      </c>
      <c r="E14" s="27" t="s">
        <v>436</v>
      </c>
      <c r="F14" s="32"/>
      <c r="G14" s="32"/>
      <c r="H14" s="24"/>
      <c r="I14" s="24"/>
      <c r="J14" s="21"/>
    </row>
    <row r="15" spans="1:14" ht="17.45">
      <c r="A15" s="21" t="s">
        <v>401</v>
      </c>
      <c r="B15" s="26" t="s">
        <v>437</v>
      </c>
      <c r="C15" s="21" t="s">
        <v>411</v>
      </c>
      <c r="D15" s="21" t="s">
        <v>404</v>
      </c>
      <c r="E15" s="23" t="s">
        <v>438</v>
      </c>
      <c r="F15" s="24"/>
      <c r="G15" s="24"/>
      <c r="H15" s="24" t="s">
        <v>428</v>
      </c>
      <c r="I15" s="24" t="s">
        <v>439</v>
      </c>
      <c r="J15" s="21"/>
    </row>
    <row r="16" spans="1:14" ht="17.45">
      <c r="A16" s="21" t="s">
        <v>401</v>
      </c>
      <c r="B16" s="26" t="s">
        <v>345</v>
      </c>
      <c r="C16" s="21" t="s">
        <v>414</v>
      </c>
      <c r="D16" s="21" t="s">
        <v>407</v>
      </c>
      <c r="E16" s="23" t="s">
        <v>440</v>
      </c>
      <c r="F16" s="24"/>
      <c r="G16" s="24"/>
      <c r="H16" s="24"/>
      <c r="I16" s="24"/>
      <c r="J16" s="21"/>
    </row>
    <row r="17" spans="1:10" ht="17.45">
      <c r="A17" s="21" t="s">
        <v>401</v>
      </c>
      <c r="B17" s="26" t="s">
        <v>441</v>
      </c>
      <c r="C17" s="27" t="s">
        <v>442</v>
      </c>
      <c r="D17" s="27" t="s">
        <v>443</v>
      </c>
      <c r="E17" s="27" t="s">
        <v>444</v>
      </c>
      <c r="F17" s="24" t="s">
        <v>13</v>
      </c>
      <c r="G17" s="24" t="s">
        <v>13</v>
      </c>
      <c r="H17" s="24" t="s">
        <v>222</v>
      </c>
      <c r="I17" s="24"/>
      <c r="J17" s="31" t="s">
        <v>409</v>
      </c>
    </row>
    <row r="18" spans="1:10" ht="17.45">
      <c r="A18" s="21" t="s">
        <v>401</v>
      </c>
      <c r="B18" s="26" t="s">
        <v>345</v>
      </c>
      <c r="C18" s="27" t="s">
        <v>442</v>
      </c>
      <c r="D18" s="27" t="s">
        <v>445</v>
      </c>
      <c r="E18" s="27" t="s">
        <v>446</v>
      </c>
      <c r="F18" s="24" t="s">
        <v>365</v>
      </c>
      <c r="G18" s="24"/>
      <c r="H18" s="24" t="s">
        <v>222</v>
      </c>
      <c r="I18" s="24" t="s">
        <v>447</v>
      </c>
      <c r="J18" s="31" t="s">
        <v>409</v>
      </c>
    </row>
    <row r="19" spans="1:10" ht="17.45">
      <c r="A19" s="21" t="s">
        <v>401</v>
      </c>
      <c r="B19" s="26" t="s">
        <v>345</v>
      </c>
      <c r="C19" s="27" t="s">
        <v>442</v>
      </c>
      <c r="D19" s="27" t="s">
        <v>407</v>
      </c>
      <c r="E19" s="27" t="s">
        <v>448</v>
      </c>
      <c r="F19" s="24" t="s">
        <v>365</v>
      </c>
      <c r="G19" s="24"/>
      <c r="H19" s="24" t="s">
        <v>222</v>
      </c>
      <c r="I19" s="24" t="s">
        <v>449</v>
      </c>
      <c r="J19" s="31" t="s">
        <v>409</v>
      </c>
    </row>
    <row r="20" spans="1:10" ht="17.45">
      <c r="A20" s="21" t="s">
        <v>401</v>
      </c>
      <c r="B20" s="26" t="s">
        <v>345</v>
      </c>
      <c r="C20" s="27" t="s">
        <v>442</v>
      </c>
      <c r="D20" s="27" t="s">
        <v>450</v>
      </c>
      <c r="E20" s="27" t="s">
        <v>444</v>
      </c>
      <c r="F20" s="24" t="s">
        <v>13</v>
      </c>
      <c r="G20" s="24" t="s">
        <v>13</v>
      </c>
      <c r="H20" s="24" t="s">
        <v>222</v>
      </c>
      <c r="I20" s="24"/>
      <c r="J20" s="31" t="s">
        <v>409</v>
      </c>
    </row>
    <row r="21" spans="1:10" ht="17.45">
      <c r="A21" s="21" t="s">
        <v>401</v>
      </c>
      <c r="B21" s="26" t="s">
        <v>345</v>
      </c>
      <c r="C21" s="27" t="s">
        <v>442</v>
      </c>
      <c r="D21" s="27" t="s">
        <v>451</v>
      </c>
      <c r="E21" s="27" t="s">
        <v>444</v>
      </c>
      <c r="F21" s="24" t="s">
        <v>13</v>
      </c>
      <c r="G21" s="24" t="s">
        <v>13</v>
      </c>
      <c r="H21" s="24" t="s">
        <v>222</v>
      </c>
      <c r="I21" s="24"/>
      <c r="J21" s="31" t="s">
        <v>409</v>
      </c>
    </row>
    <row r="22" spans="1:10" ht="17.45">
      <c r="A22" s="21" t="s">
        <v>401</v>
      </c>
      <c r="B22" s="26" t="s">
        <v>345</v>
      </c>
      <c r="C22" s="27" t="s">
        <v>442</v>
      </c>
      <c r="D22" s="27" t="s">
        <v>452</v>
      </c>
      <c r="E22" s="27" t="s">
        <v>444</v>
      </c>
      <c r="F22" s="24"/>
      <c r="G22" s="24"/>
      <c r="H22" s="24"/>
      <c r="I22" s="24"/>
      <c r="J22" s="24"/>
    </row>
    <row r="23" spans="1:10" ht="17.45">
      <c r="A23" s="21" t="s">
        <v>401</v>
      </c>
      <c r="B23" s="26" t="s">
        <v>453</v>
      </c>
      <c r="C23" s="27" t="s">
        <v>442</v>
      </c>
      <c r="D23" s="27" t="s">
        <v>443</v>
      </c>
      <c r="E23" s="27" t="s">
        <v>444</v>
      </c>
      <c r="F23" s="24"/>
      <c r="G23" s="24"/>
      <c r="H23" s="24" t="s">
        <v>428</v>
      </c>
      <c r="I23" s="24" t="s">
        <v>454</v>
      </c>
      <c r="J23" s="31" t="s">
        <v>409</v>
      </c>
    </row>
    <row r="24" spans="1:10" ht="17.45">
      <c r="A24" s="21" t="s">
        <v>401</v>
      </c>
      <c r="B24" s="26" t="s">
        <v>345</v>
      </c>
      <c r="C24" s="27" t="s">
        <v>442</v>
      </c>
      <c r="D24" s="27" t="s">
        <v>445</v>
      </c>
      <c r="E24" s="27" t="s">
        <v>446</v>
      </c>
      <c r="F24" s="24"/>
      <c r="G24" s="24"/>
      <c r="H24" s="24"/>
      <c r="I24" s="24"/>
      <c r="J24" s="24"/>
    </row>
    <row r="25" spans="1:10" ht="17.45">
      <c r="A25" s="21" t="s">
        <v>401</v>
      </c>
      <c r="B25" s="26" t="s">
        <v>345</v>
      </c>
      <c r="C25" s="27" t="s">
        <v>442</v>
      </c>
      <c r="D25" s="27" t="s">
        <v>407</v>
      </c>
      <c r="E25" s="27" t="s">
        <v>455</v>
      </c>
      <c r="F25" s="24"/>
      <c r="G25" s="24"/>
      <c r="H25" s="24"/>
      <c r="I25" s="24"/>
      <c r="J25" s="24"/>
    </row>
    <row r="26" spans="1:10" ht="17.45">
      <c r="A26" s="21" t="s">
        <v>401</v>
      </c>
      <c r="B26" s="26" t="s">
        <v>345</v>
      </c>
      <c r="C26" s="27" t="s">
        <v>442</v>
      </c>
      <c r="D26" s="27" t="s">
        <v>450</v>
      </c>
      <c r="E26" s="27" t="s">
        <v>444</v>
      </c>
      <c r="F26" s="24"/>
      <c r="G26" s="24"/>
      <c r="H26" s="32"/>
      <c r="I26" s="32"/>
      <c r="J26" s="24"/>
    </row>
    <row r="27" spans="1:10" ht="17.45">
      <c r="A27" s="21" t="s">
        <v>401</v>
      </c>
      <c r="B27" s="26" t="s">
        <v>345</v>
      </c>
      <c r="C27" s="27" t="s">
        <v>442</v>
      </c>
      <c r="D27" s="27" t="s">
        <v>451</v>
      </c>
      <c r="E27" s="27" t="s">
        <v>444</v>
      </c>
      <c r="F27" s="24"/>
      <c r="G27" s="24"/>
      <c r="H27" s="24"/>
      <c r="I27" s="24"/>
      <c r="J27" s="24"/>
    </row>
    <row r="28" spans="1:10" ht="17.45">
      <c r="A28" s="21" t="s">
        <v>401</v>
      </c>
      <c r="B28" s="22" t="s">
        <v>456</v>
      </c>
      <c r="C28" s="21" t="s">
        <v>442</v>
      </c>
      <c r="D28" s="21" t="s">
        <v>457</v>
      </c>
      <c r="E28" s="23" t="s">
        <v>444</v>
      </c>
      <c r="F28" s="24" t="s">
        <v>13</v>
      </c>
      <c r="G28" s="24" t="s">
        <v>13</v>
      </c>
      <c r="H28" s="24" t="s">
        <v>222</v>
      </c>
      <c r="I28" s="24"/>
      <c r="J28" s="31" t="s">
        <v>409</v>
      </c>
    </row>
    <row r="29" spans="1:10" ht="17.45">
      <c r="A29" s="21" t="s">
        <v>401</v>
      </c>
      <c r="B29" s="22" t="s">
        <v>458</v>
      </c>
      <c r="C29" s="21" t="s">
        <v>442</v>
      </c>
      <c r="D29" s="21" t="s">
        <v>459</v>
      </c>
      <c r="E29" s="23" t="s">
        <v>444</v>
      </c>
      <c r="F29" s="24" t="s">
        <v>13</v>
      </c>
      <c r="G29" s="24" t="s">
        <v>13</v>
      </c>
      <c r="H29" s="24" t="s">
        <v>222</v>
      </c>
      <c r="I29" s="24"/>
      <c r="J29" s="31" t="s">
        <v>409</v>
      </c>
    </row>
    <row r="30" spans="1:10" ht="17.45">
      <c r="A30" s="21" t="s">
        <v>401</v>
      </c>
      <c r="B30" s="26" t="s">
        <v>460</v>
      </c>
      <c r="C30" s="27" t="s">
        <v>461</v>
      </c>
      <c r="D30" s="27" t="s">
        <v>462</v>
      </c>
      <c r="E30" s="27" t="s">
        <v>463</v>
      </c>
      <c r="F30" s="24" t="s">
        <v>13</v>
      </c>
      <c r="G30" s="24" t="s">
        <v>365</v>
      </c>
      <c r="H30" s="24" t="s">
        <v>428</v>
      </c>
      <c r="I30" s="24" t="s">
        <v>464</v>
      </c>
      <c r="J30" s="31" t="s">
        <v>409</v>
      </c>
    </row>
    <row r="31" spans="1:10" ht="17.45">
      <c r="A31" s="21" t="s">
        <v>401</v>
      </c>
      <c r="B31" s="26" t="s">
        <v>465</v>
      </c>
      <c r="C31" s="27" t="s">
        <v>426</v>
      </c>
      <c r="D31" s="27" t="s">
        <v>404</v>
      </c>
      <c r="E31" s="27" t="s">
        <v>466</v>
      </c>
      <c r="F31" s="24"/>
      <c r="G31" s="24"/>
      <c r="H31" s="24"/>
      <c r="I31" s="24"/>
      <c r="J31" s="24"/>
    </row>
    <row r="32" spans="1:10" ht="17.45">
      <c r="A32" s="21" t="s">
        <v>401</v>
      </c>
      <c r="B32" s="26" t="s">
        <v>345</v>
      </c>
      <c r="C32" s="27" t="s">
        <v>467</v>
      </c>
      <c r="D32" s="27" t="s">
        <v>421</v>
      </c>
      <c r="E32" s="27" t="s">
        <v>468</v>
      </c>
      <c r="F32" s="24"/>
      <c r="G32" s="24"/>
      <c r="H32" s="24"/>
      <c r="I32" s="24"/>
      <c r="J32" s="24"/>
    </row>
    <row r="33" spans="1:10" ht="17.45">
      <c r="A33" s="21" t="s">
        <v>401</v>
      </c>
      <c r="B33" s="26" t="s">
        <v>469</v>
      </c>
      <c r="C33" s="27" t="s">
        <v>426</v>
      </c>
      <c r="D33" s="27" t="s">
        <v>404</v>
      </c>
      <c r="E33" s="27" t="s">
        <v>470</v>
      </c>
      <c r="F33" s="24"/>
      <c r="G33" s="24"/>
      <c r="H33" s="24"/>
      <c r="I33" s="24"/>
      <c r="J33" s="24"/>
    </row>
    <row r="34" spans="1:10" ht="17.45">
      <c r="A34" s="27" t="s">
        <v>471</v>
      </c>
      <c r="B34" s="26" t="s">
        <v>472</v>
      </c>
      <c r="C34" s="27" t="s">
        <v>473</v>
      </c>
      <c r="D34" s="27" t="s">
        <v>474</v>
      </c>
      <c r="E34" s="27" t="s">
        <v>345</v>
      </c>
      <c r="F34" s="24"/>
      <c r="G34" s="24"/>
      <c r="H34" s="24"/>
      <c r="I34" s="24"/>
      <c r="J34" s="24"/>
    </row>
    <row r="35" spans="1:10" ht="17.45">
      <c r="A35" s="27" t="s">
        <v>471</v>
      </c>
      <c r="B35" s="26" t="s">
        <v>475</v>
      </c>
      <c r="C35" s="27" t="s">
        <v>473</v>
      </c>
      <c r="D35" s="27" t="s">
        <v>476</v>
      </c>
      <c r="E35" s="27" t="s">
        <v>345</v>
      </c>
      <c r="F35" s="24"/>
      <c r="G35" s="24"/>
      <c r="H35" s="24"/>
      <c r="I35" s="24"/>
      <c r="J35" s="24"/>
    </row>
    <row r="36" spans="1:10" ht="17.45">
      <c r="A36" s="27" t="s">
        <v>471</v>
      </c>
      <c r="B36" s="26" t="s">
        <v>477</v>
      </c>
      <c r="C36" s="27" t="s">
        <v>478</v>
      </c>
      <c r="D36" s="27" t="s">
        <v>479</v>
      </c>
      <c r="E36" s="27" t="s">
        <v>345</v>
      </c>
      <c r="F36" s="24"/>
      <c r="G36" s="24"/>
      <c r="H36" s="24"/>
      <c r="I36" s="24"/>
      <c r="J36" s="24"/>
    </row>
    <row r="37" spans="1:10" ht="17.45">
      <c r="A37" s="27" t="s">
        <v>480</v>
      </c>
      <c r="B37" s="26" t="s">
        <v>481</v>
      </c>
      <c r="C37" s="27" t="s">
        <v>467</v>
      </c>
      <c r="D37" s="27" t="s">
        <v>482</v>
      </c>
      <c r="E37" s="27" t="s">
        <v>444</v>
      </c>
      <c r="F37" s="24"/>
      <c r="G37" s="24"/>
      <c r="H37" s="24" t="s">
        <v>428</v>
      </c>
      <c r="I37" s="24" t="s">
        <v>483</v>
      </c>
      <c r="J37" s="31" t="s">
        <v>409</v>
      </c>
    </row>
    <row r="38" spans="1:10" ht="17.45">
      <c r="A38" s="27" t="s">
        <v>480</v>
      </c>
      <c r="B38" s="26" t="s">
        <v>484</v>
      </c>
      <c r="C38" s="27" t="s">
        <v>467</v>
      </c>
      <c r="D38" s="27" t="s">
        <v>482</v>
      </c>
      <c r="E38" s="27" t="s">
        <v>444</v>
      </c>
      <c r="F38" s="24" t="s">
        <v>13</v>
      </c>
      <c r="G38" s="24" t="s">
        <v>13</v>
      </c>
      <c r="H38" s="24" t="s">
        <v>222</v>
      </c>
      <c r="I38" s="24"/>
      <c r="J38" s="24"/>
    </row>
    <row r="39" spans="1:10" ht="17.45">
      <c r="A39" s="27" t="s">
        <v>480</v>
      </c>
      <c r="B39" s="26" t="s">
        <v>485</v>
      </c>
      <c r="C39" s="27" t="s">
        <v>467</v>
      </c>
      <c r="D39" s="27" t="s">
        <v>482</v>
      </c>
      <c r="E39" s="27" t="s">
        <v>444</v>
      </c>
      <c r="F39" s="24" t="s">
        <v>13</v>
      </c>
      <c r="G39" s="24" t="s">
        <v>365</v>
      </c>
      <c r="H39" s="24" t="s">
        <v>222</v>
      </c>
      <c r="I39" s="32" t="s">
        <v>486</v>
      </c>
      <c r="J39" s="24"/>
    </row>
    <row r="40" spans="1:10" ht="17.45">
      <c r="A40" s="27" t="s">
        <v>480</v>
      </c>
      <c r="B40" s="26" t="s">
        <v>487</v>
      </c>
      <c r="C40" s="27" t="s">
        <v>467</v>
      </c>
      <c r="D40" s="27" t="s">
        <v>482</v>
      </c>
      <c r="E40" s="27" t="s">
        <v>444</v>
      </c>
      <c r="F40" s="24"/>
      <c r="G40" s="24"/>
      <c r="H40" s="24"/>
      <c r="I40" s="24"/>
      <c r="J40" s="24"/>
    </row>
    <row r="41" spans="1:10" ht="17.45">
      <c r="A41" s="21" t="s">
        <v>480</v>
      </c>
      <c r="B41" s="22" t="s">
        <v>488</v>
      </c>
      <c r="C41" s="21" t="s">
        <v>489</v>
      </c>
      <c r="D41" s="21" t="s">
        <v>482</v>
      </c>
      <c r="E41" s="23" t="s">
        <v>444</v>
      </c>
      <c r="F41" s="24"/>
      <c r="G41" s="24"/>
      <c r="H41" s="24" t="s">
        <v>428</v>
      </c>
      <c r="I41" s="24"/>
      <c r="J41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10C0-FFE3-4D4A-BB44-D17330261A65}">
  <sheetPr>
    <tabColor rgb="FF38A7AB"/>
  </sheetPr>
  <dimension ref="A1:K58"/>
  <sheetViews>
    <sheetView topLeftCell="A13" workbookViewId="0">
      <selection activeCell="G25" sqref="G25:G26"/>
    </sheetView>
  </sheetViews>
  <sheetFormatPr defaultColWidth="8.7109375" defaultRowHeight="14.45"/>
  <cols>
    <col min="2" max="2" width="16" customWidth="1"/>
    <col min="3" max="3" width="36.7109375" customWidth="1"/>
    <col min="4" max="4" width="18.28515625" customWidth="1"/>
    <col min="5" max="5" width="37" customWidth="1"/>
    <col min="6" max="6" width="27.28515625" customWidth="1"/>
    <col min="7" max="7" width="34" customWidth="1"/>
    <col min="8" max="8" width="20.140625" customWidth="1"/>
    <col min="10" max="10" width="58.85546875" customWidth="1"/>
    <col min="11" max="11" width="36.28515625" customWidth="1"/>
  </cols>
  <sheetData>
    <row r="1" spans="1:11" ht="87" customHeight="1">
      <c r="A1" s="13" t="s">
        <v>490</v>
      </c>
      <c r="B1" s="13" t="s">
        <v>491</v>
      </c>
      <c r="C1" s="18" t="s">
        <v>492</v>
      </c>
      <c r="D1" s="13" t="s">
        <v>394</v>
      </c>
      <c r="E1" s="13" t="s">
        <v>395</v>
      </c>
      <c r="F1" s="13" t="s">
        <v>396</v>
      </c>
      <c r="G1" s="18" t="s">
        <v>397</v>
      </c>
      <c r="H1" s="18" t="s">
        <v>398</v>
      </c>
      <c r="I1" s="13" t="s">
        <v>42</v>
      </c>
      <c r="J1" s="13" t="s">
        <v>399</v>
      </c>
      <c r="K1" s="13" t="s">
        <v>400</v>
      </c>
    </row>
    <row r="2" spans="1:11" ht="35.1">
      <c r="A2" s="171" t="s">
        <v>493</v>
      </c>
      <c r="B2" s="171" t="s">
        <v>494</v>
      </c>
      <c r="C2" s="148" t="s">
        <v>495</v>
      </c>
      <c r="D2" s="148" t="s">
        <v>496</v>
      </c>
      <c r="E2" s="35" t="s">
        <v>497</v>
      </c>
      <c r="F2" s="148" t="s">
        <v>444</v>
      </c>
      <c r="G2" s="200"/>
      <c r="H2" s="148"/>
      <c r="I2" s="148"/>
      <c r="J2" s="148"/>
      <c r="K2" s="148"/>
    </row>
    <row r="3" spans="1:11" ht="17.45">
      <c r="A3" s="179"/>
      <c r="B3" s="179"/>
      <c r="C3" s="149"/>
      <c r="D3" s="149"/>
      <c r="E3" s="36"/>
      <c r="F3" s="149"/>
      <c r="G3" s="201"/>
      <c r="H3" s="149"/>
      <c r="I3" s="149"/>
      <c r="J3" s="149"/>
      <c r="K3" s="149"/>
    </row>
    <row r="4" spans="1:11" ht="17.45">
      <c r="A4" s="179"/>
      <c r="B4" s="179"/>
      <c r="C4" s="149"/>
      <c r="D4" s="149"/>
      <c r="E4" s="36" t="s">
        <v>498</v>
      </c>
      <c r="F4" s="149"/>
      <c r="G4" s="201"/>
      <c r="H4" s="149"/>
      <c r="I4" s="149"/>
      <c r="J4" s="149"/>
      <c r="K4" s="149"/>
    </row>
    <row r="5" spans="1:11" ht="17.45">
      <c r="A5" s="179"/>
      <c r="B5" s="182"/>
      <c r="C5" s="172"/>
      <c r="D5" s="172"/>
      <c r="E5" s="37"/>
      <c r="F5" s="177"/>
      <c r="G5" s="202"/>
      <c r="H5" s="177"/>
      <c r="I5" s="177"/>
      <c r="J5" s="177"/>
      <c r="K5" s="177"/>
    </row>
    <row r="6" spans="1:11" ht="35.1">
      <c r="A6" s="179"/>
      <c r="B6" s="171" t="s">
        <v>494</v>
      </c>
      <c r="C6" s="148" t="s">
        <v>495</v>
      </c>
      <c r="D6" s="148" t="s">
        <v>496</v>
      </c>
      <c r="E6" s="35" t="s">
        <v>499</v>
      </c>
      <c r="F6" s="148" t="s">
        <v>500</v>
      </c>
      <c r="G6" s="200"/>
      <c r="H6" s="148"/>
      <c r="I6" s="148"/>
      <c r="J6" s="148"/>
      <c r="K6" s="148"/>
    </row>
    <row r="7" spans="1:11" ht="17.45">
      <c r="A7" s="179"/>
      <c r="B7" s="179"/>
      <c r="C7" s="149"/>
      <c r="D7" s="149"/>
      <c r="E7" s="35"/>
      <c r="F7" s="149"/>
      <c r="G7" s="201"/>
      <c r="H7" s="149"/>
      <c r="I7" s="149"/>
      <c r="J7" s="149"/>
      <c r="K7" s="149"/>
    </row>
    <row r="8" spans="1:11" ht="17.45">
      <c r="A8" s="179"/>
      <c r="B8" s="179"/>
      <c r="C8" s="149"/>
      <c r="D8" s="149"/>
      <c r="E8" s="35" t="s">
        <v>501</v>
      </c>
      <c r="F8" s="149"/>
      <c r="G8" s="201"/>
      <c r="H8" s="149"/>
      <c r="I8" s="149"/>
      <c r="J8" s="149"/>
      <c r="K8" s="149"/>
    </row>
    <row r="9" spans="1:11" ht="17.45">
      <c r="A9" s="179"/>
      <c r="B9" s="182"/>
      <c r="C9" s="172"/>
      <c r="D9" s="172"/>
      <c r="E9" s="35"/>
      <c r="F9" s="177"/>
      <c r="G9" s="202"/>
      <c r="H9" s="177"/>
      <c r="I9" s="177"/>
      <c r="J9" s="177"/>
      <c r="K9" s="177"/>
    </row>
    <row r="10" spans="1:11" ht="35.1">
      <c r="A10" s="179"/>
      <c r="B10" s="171" t="s">
        <v>502</v>
      </c>
      <c r="C10" s="148" t="s">
        <v>503</v>
      </c>
      <c r="D10" s="148" t="s">
        <v>496</v>
      </c>
      <c r="E10" s="35" t="s">
        <v>504</v>
      </c>
      <c r="F10" s="148" t="s">
        <v>444</v>
      </c>
      <c r="G10" s="148"/>
      <c r="H10" s="148"/>
      <c r="I10" s="148"/>
      <c r="J10" s="148"/>
      <c r="K10" s="148"/>
    </row>
    <row r="11" spans="1:11" ht="17.45">
      <c r="A11" s="179"/>
      <c r="B11" s="179"/>
      <c r="C11" s="149"/>
      <c r="D11" s="149"/>
      <c r="E11" s="35"/>
      <c r="F11" s="149"/>
      <c r="G11" s="149"/>
      <c r="H11" s="149"/>
      <c r="I11" s="149"/>
      <c r="J11" s="149"/>
      <c r="K11" s="149"/>
    </row>
    <row r="12" spans="1:11" ht="17.45">
      <c r="A12" s="179"/>
      <c r="B12" s="179"/>
      <c r="C12" s="149"/>
      <c r="D12" s="149"/>
      <c r="E12" s="35" t="s">
        <v>505</v>
      </c>
      <c r="F12" s="149"/>
      <c r="G12" s="149"/>
      <c r="H12" s="149"/>
      <c r="I12" s="149"/>
      <c r="J12" s="149"/>
      <c r="K12" s="149"/>
    </row>
    <row r="13" spans="1:11" ht="35.1">
      <c r="A13" s="179"/>
      <c r="B13" s="179"/>
      <c r="C13" s="148" t="s">
        <v>503</v>
      </c>
      <c r="D13" s="148" t="s">
        <v>496</v>
      </c>
      <c r="E13" s="35" t="s">
        <v>506</v>
      </c>
      <c r="F13" s="148" t="s">
        <v>507</v>
      </c>
      <c r="G13" s="148"/>
      <c r="H13" s="148"/>
      <c r="I13" s="148"/>
      <c r="J13" s="148"/>
      <c r="K13" s="148"/>
    </row>
    <row r="14" spans="1:11" ht="17.45">
      <c r="A14" s="179"/>
      <c r="B14" s="179"/>
      <c r="C14" s="149"/>
      <c r="D14" s="149"/>
      <c r="E14" s="35"/>
      <c r="F14" s="149"/>
      <c r="G14" s="149"/>
      <c r="H14" s="149"/>
      <c r="I14" s="149"/>
      <c r="J14" s="149"/>
      <c r="K14" s="149"/>
    </row>
    <row r="15" spans="1:11" ht="17.45">
      <c r="A15" s="179"/>
      <c r="B15" s="179"/>
      <c r="C15" s="149"/>
      <c r="D15" s="149"/>
      <c r="E15" s="35" t="s">
        <v>508</v>
      </c>
      <c r="F15" s="149"/>
      <c r="G15" s="149"/>
      <c r="H15" s="149"/>
      <c r="I15" s="149"/>
      <c r="J15" s="149"/>
      <c r="K15" s="149"/>
    </row>
    <row r="16" spans="1:11" ht="17.45">
      <c r="A16" s="182"/>
      <c r="B16" s="182"/>
      <c r="C16" s="172"/>
      <c r="D16" s="172"/>
      <c r="E16" s="35"/>
      <c r="F16" s="177"/>
      <c r="G16" s="177"/>
      <c r="H16" s="177"/>
      <c r="I16" s="177"/>
      <c r="J16" s="177"/>
      <c r="K16" s="177"/>
    </row>
    <row r="17" spans="1:11" ht="15" customHeight="1">
      <c r="A17" s="171" t="s">
        <v>509</v>
      </c>
      <c r="B17" s="171" t="s">
        <v>510</v>
      </c>
      <c r="C17" s="199"/>
      <c r="D17" s="171" t="s">
        <v>511</v>
      </c>
      <c r="E17" s="148" t="s">
        <v>512</v>
      </c>
      <c r="F17" s="148" t="s">
        <v>513</v>
      </c>
      <c r="G17" s="148"/>
      <c r="H17" s="148"/>
      <c r="I17" s="148"/>
      <c r="J17" s="148"/>
      <c r="K17" s="148"/>
    </row>
    <row r="18" spans="1:11" ht="15" customHeight="1">
      <c r="A18" s="179"/>
      <c r="B18" s="179"/>
      <c r="C18" s="199"/>
      <c r="D18" s="179"/>
      <c r="E18" s="177"/>
      <c r="F18" s="149"/>
      <c r="G18" s="149"/>
      <c r="H18" s="149"/>
      <c r="I18" s="149"/>
      <c r="J18" s="149"/>
      <c r="K18" s="149"/>
    </row>
    <row r="19" spans="1:11" ht="15" customHeight="1">
      <c r="A19" s="179"/>
      <c r="B19" s="197"/>
      <c r="C19" s="198"/>
      <c r="D19" s="198"/>
      <c r="E19" s="148" t="s">
        <v>514</v>
      </c>
      <c r="F19" s="148" t="s">
        <v>513</v>
      </c>
      <c r="G19" s="148"/>
      <c r="H19" s="148"/>
      <c r="I19" s="148"/>
      <c r="J19" s="148"/>
      <c r="K19" s="148"/>
    </row>
    <row r="20" spans="1:11" ht="15" customHeight="1">
      <c r="A20" s="179"/>
      <c r="B20" s="197"/>
      <c r="C20" s="198"/>
      <c r="D20" s="198"/>
      <c r="E20" s="177"/>
      <c r="F20" s="149"/>
      <c r="G20" s="149"/>
      <c r="H20" s="149"/>
      <c r="I20" s="149"/>
      <c r="J20" s="149"/>
      <c r="K20" s="149"/>
    </row>
    <row r="21" spans="1:11" ht="15" customHeight="1">
      <c r="A21" s="179"/>
      <c r="B21" s="171" t="s">
        <v>515</v>
      </c>
      <c r="C21" s="171" t="s">
        <v>516</v>
      </c>
      <c r="D21" s="171" t="s">
        <v>517</v>
      </c>
      <c r="E21" s="148" t="s">
        <v>518</v>
      </c>
      <c r="F21" s="148" t="s">
        <v>519</v>
      </c>
      <c r="G21" s="148"/>
      <c r="H21" s="148"/>
      <c r="I21" s="148"/>
      <c r="J21" s="148"/>
      <c r="K21" s="148"/>
    </row>
    <row r="22" spans="1:11" ht="15" customHeight="1">
      <c r="A22" s="179"/>
      <c r="B22" s="179"/>
      <c r="C22" s="179"/>
      <c r="D22" s="179"/>
      <c r="E22" s="177"/>
      <c r="F22" s="149"/>
      <c r="G22" s="149"/>
      <c r="H22" s="149"/>
      <c r="I22" s="149"/>
      <c r="J22" s="149"/>
      <c r="K22" s="149"/>
    </row>
    <row r="23" spans="1:11" ht="15" customHeight="1">
      <c r="A23" s="179"/>
      <c r="B23" s="192" t="s">
        <v>520</v>
      </c>
      <c r="C23" s="192" t="s">
        <v>521</v>
      </c>
      <c r="D23" s="171" t="s">
        <v>496</v>
      </c>
      <c r="E23" s="148" t="s">
        <v>522</v>
      </c>
      <c r="F23" s="148" t="s">
        <v>519</v>
      </c>
      <c r="G23" s="148" t="s">
        <v>13</v>
      </c>
      <c r="H23" s="148"/>
      <c r="I23" s="148" t="s">
        <v>215</v>
      </c>
      <c r="J23" s="148"/>
      <c r="K23" s="148"/>
    </row>
    <row r="24" spans="1:11" ht="15" customHeight="1">
      <c r="A24" s="179"/>
      <c r="B24" s="193"/>
      <c r="C24" s="193"/>
      <c r="D24" s="179"/>
      <c r="E24" s="177"/>
      <c r="F24" s="149"/>
      <c r="G24" s="149"/>
      <c r="H24" s="149"/>
      <c r="I24" s="149"/>
      <c r="J24" s="149"/>
      <c r="K24" s="149"/>
    </row>
    <row r="25" spans="1:11" ht="15" customHeight="1">
      <c r="A25" s="179"/>
      <c r="B25" s="192" t="s">
        <v>523</v>
      </c>
      <c r="C25" s="192" t="s">
        <v>524</v>
      </c>
      <c r="D25" s="171" t="s">
        <v>496</v>
      </c>
      <c r="E25" s="148" t="s">
        <v>522</v>
      </c>
      <c r="F25" s="148" t="s">
        <v>519</v>
      </c>
      <c r="G25" s="148"/>
      <c r="H25" s="148"/>
      <c r="I25" s="148" t="s">
        <v>215</v>
      </c>
      <c r="J25" s="148" t="s">
        <v>525</v>
      </c>
      <c r="K25" s="148"/>
    </row>
    <row r="26" spans="1:11" ht="15" customHeight="1">
      <c r="A26" s="182"/>
      <c r="B26" s="193"/>
      <c r="C26" s="193"/>
      <c r="D26" s="179"/>
      <c r="E26" s="177"/>
      <c r="F26" s="149"/>
      <c r="G26" s="149"/>
      <c r="H26" s="149"/>
      <c r="I26" s="149"/>
      <c r="J26" s="149"/>
      <c r="K26" s="149"/>
    </row>
    <row r="27" spans="1:11" ht="15" customHeight="1">
      <c r="A27" s="171" t="s">
        <v>526</v>
      </c>
      <c r="B27" s="171" t="s">
        <v>527</v>
      </c>
      <c r="C27" s="171" t="s">
        <v>528</v>
      </c>
      <c r="D27" s="171" t="s">
        <v>496</v>
      </c>
      <c r="E27" s="148" t="s">
        <v>529</v>
      </c>
      <c r="F27" s="148" t="s">
        <v>530</v>
      </c>
      <c r="G27" s="148"/>
      <c r="H27" s="148"/>
      <c r="I27" s="148"/>
      <c r="J27" s="148"/>
      <c r="K27" s="148"/>
    </row>
    <row r="28" spans="1:11" ht="15" customHeight="1">
      <c r="A28" s="179"/>
      <c r="B28" s="179"/>
      <c r="C28" s="179"/>
      <c r="D28" s="179"/>
      <c r="E28" s="177"/>
      <c r="F28" s="149"/>
      <c r="G28" s="149"/>
      <c r="H28" s="149"/>
      <c r="I28" s="149"/>
      <c r="J28" s="149"/>
      <c r="K28" s="149"/>
    </row>
    <row r="29" spans="1:11" ht="15" customHeight="1">
      <c r="A29" s="179"/>
      <c r="B29" s="171" t="s">
        <v>531</v>
      </c>
      <c r="C29" s="171" t="s">
        <v>532</v>
      </c>
      <c r="D29" s="171" t="s">
        <v>533</v>
      </c>
      <c r="E29" s="148" t="s">
        <v>534</v>
      </c>
      <c r="F29" s="148" t="s">
        <v>444</v>
      </c>
      <c r="G29" s="148"/>
      <c r="H29" s="148"/>
      <c r="I29" s="148"/>
      <c r="J29" s="148"/>
      <c r="K29" s="148"/>
    </row>
    <row r="30" spans="1:11" ht="15" customHeight="1">
      <c r="A30" s="179"/>
      <c r="B30" s="179"/>
      <c r="C30" s="179"/>
      <c r="D30" s="179"/>
      <c r="E30" s="177"/>
      <c r="F30" s="149"/>
      <c r="G30" s="149"/>
      <c r="H30" s="149"/>
      <c r="I30" s="149"/>
      <c r="J30" s="149"/>
      <c r="K30" s="149"/>
    </row>
    <row r="31" spans="1:11" ht="15" customHeight="1">
      <c r="A31" s="179"/>
      <c r="B31" s="171" t="s">
        <v>535</v>
      </c>
      <c r="C31" s="171" t="s">
        <v>536</v>
      </c>
      <c r="D31" s="171" t="s">
        <v>496</v>
      </c>
      <c r="E31" s="148" t="s">
        <v>537</v>
      </c>
      <c r="F31" s="148" t="s">
        <v>444</v>
      </c>
      <c r="G31" s="148"/>
      <c r="H31" s="148"/>
      <c r="I31" s="148" t="s">
        <v>538</v>
      </c>
      <c r="J31" s="148"/>
      <c r="K31" s="148"/>
    </row>
    <row r="32" spans="1:11" ht="15" customHeight="1">
      <c r="A32" s="179"/>
      <c r="B32" s="179"/>
      <c r="C32" s="179"/>
      <c r="D32" s="179"/>
      <c r="E32" s="177"/>
      <c r="F32" s="149"/>
      <c r="G32" s="149"/>
      <c r="H32" s="149"/>
      <c r="I32" s="149"/>
      <c r="J32" s="149"/>
      <c r="K32" s="149"/>
    </row>
    <row r="33" spans="1:11" ht="15" customHeight="1">
      <c r="A33" s="179"/>
      <c r="B33" s="171" t="s">
        <v>539</v>
      </c>
      <c r="C33" s="171" t="s">
        <v>540</v>
      </c>
      <c r="D33" s="171" t="s">
        <v>541</v>
      </c>
      <c r="E33" s="148" t="s">
        <v>542</v>
      </c>
      <c r="F33" s="148" t="s">
        <v>543</v>
      </c>
      <c r="G33" s="148"/>
      <c r="H33" s="148"/>
      <c r="I33" s="148"/>
      <c r="J33" s="148"/>
      <c r="K33" s="148"/>
    </row>
    <row r="34" spans="1:11" ht="15" customHeight="1">
      <c r="A34" s="179"/>
      <c r="B34" s="179"/>
      <c r="C34" s="179"/>
      <c r="D34" s="179"/>
      <c r="E34" s="177"/>
      <c r="F34" s="149"/>
      <c r="G34" s="149"/>
      <c r="H34" s="149"/>
      <c r="I34" s="149"/>
      <c r="J34" s="149"/>
      <c r="K34" s="149"/>
    </row>
    <row r="35" spans="1:11" ht="15" customHeight="1">
      <c r="A35" s="179"/>
      <c r="B35" s="171" t="s">
        <v>544</v>
      </c>
      <c r="C35" s="171" t="s">
        <v>545</v>
      </c>
      <c r="D35" s="171" t="s">
        <v>496</v>
      </c>
      <c r="E35" s="148" t="s">
        <v>546</v>
      </c>
      <c r="F35" s="148" t="s">
        <v>444</v>
      </c>
      <c r="G35" s="148"/>
      <c r="H35" s="148"/>
      <c r="I35" s="148"/>
      <c r="J35" s="148"/>
      <c r="K35" s="148"/>
    </row>
    <row r="36" spans="1:11" ht="15" customHeight="1">
      <c r="A36" s="179"/>
      <c r="B36" s="179"/>
      <c r="C36" s="179"/>
      <c r="D36" s="179"/>
      <c r="E36" s="177"/>
      <c r="F36" s="149"/>
      <c r="G36" s="149"/>
      <c r="H36" s="149"/>
      <c r="I36" s="149"/>
      <c r="J36" s="149"/>
      <c r="K36" s="149"/>
    </row>
    <row r="37" spans="1:11" ht="15" customHeight="1">
      <c r="A37" s="179"/>
      <c r="B37" s="171" t="s">
        <v>547</v>
      </c>
      <c r="C37" s="171" t="s">
        <v>548</v>
      </c>
      <c r="D37" s="171" t="s">
        <v>496</v>
      </c>
      <c r="E37" s="148" t="s">
        <v>549</v>
      </c>
      <c r="F37" s="148" t="s">
        <v>444</v>
      </c>
      <c r="G37" s="148"/>
      <c r="H37" s="148"/>
      <c r="I37" s="148"/>
      <c r="J37" s="148"/>
      <c r="K37" s="148"/>
    </row>
    <row r="38" spans="1:11" ht="15" customHeight="1">
      <c r="A38" s="179"/>
      <c r="B38" s="179"/>
      <c r="C38" s="179"/>
      <c r="D38" s="179"/>
      <c r="E38" s="177"/>
      <c r="F38" s="149"/>
      <c r="G38" s="149"/>
      <c r="H38" s="149"/>
      <c r="I38" s="149"/>
      <c r="J38" s="149"/>
      <c r="K38" s="149"/>
    </row>
    <row r="39" spans="1:11" ht="15" customHeight="1">
      <c r="A39" s="179"/>
      <c r="B39" s="171" t="s">
        <v>550</v>
      </c>
      <c r="C39" s="171" t="s">
        <v>551</v>
      </c>
      <c r="D39" s="171" t="s">
        <v>552</v>
      </c>
      <c r="E39" s="148" t="s">
        <v>546</v>
      </c>
      <c r="F39" s="148" t="s">
        <v>553</v>
      </c>
      <c r="G39" s="148"/>
      <c r="H39" s="148"/>
      <c r="I39" s="148"/>
      <c r="J39" s="148"/>
      <c r="K39" s="148"/>
    </row>
    <row r="40" spans="1:11" ht="15" customHeight="1">
      <c r="A40" s="179"/>
      <c r="B40" s="179"/>
      <c r="C40" s="179"/>
      <c r="D40" s="179"/>
      <c r="E40" s="177"/>
      <c r="F40" s="149"/>
      <c r="G40" s="149"/>
      <c r="H40" s="149"/>
      <c r="I40" s="149"/>
      <c r="J40" s="149"/>
      <c r="K40" s="149"/>
    </row>
    <row r="41" spans="1:11" ht="17.45">
      <c r="A41" s="179"/>
      <c r="B41" s="72" t="s">
        <v>554</v>
      </c>
      <c r="C41" s="72" t="s">
        <v>555</v>
      </c>
      <c r="D41" s="38" t="s">
        <v>541</v>
      </c>
      <c r="E41" s="39" t="s">
        <v>556</v>
      </c>
      <c r="F41" s="39" t="s">
        <v>543</v>
      </c>
      <c r="G41" s="73" t="s">
        <v>13</v>
      </c>
      <c r="H41" s="73" t="s">
        <v>13</v>
      </c>
      <c r="I41" s="39" t="s">
        <v>215</v>
      </c>
      <c r="J41" s="39"/>
      <c r="K41" s="39"/>
    </row>
    <row r="42" spans="1:11" ht="17.25" customHeight="1">
      <c r="A42" s="179"/>
      <c r="B42" s="192" t="s">
        <v>557</v>
      </c>
      <c r="C42" s="192" t="s">
        <v>558</v>
      </c>
      <c r="D42" s="171" t="s">
        <v>496</v>
      </c>
      <c r="E42" s="149" t="s">
        <v>559</v>
      </c>
      <c r="F42" s="149" t="s">
        <v>444</v>
      </c>
      <c r="G42" s="149" t="s">
        <v>13</v>
      </c>
      <c r="H42" s="149" t="s">
        <v>13</v>
      </c>
      <c r="I42" s="149" t="s">
        <v>560</v>
      </c>
      <c r="J42" s="149" t="s">
        <v>561</v>
      </c>
      <c r="K42" s="149"/>
    </row>
    <row r="43" spans="1:11" ht="17.25" customHeight="1">
      <c r="A43" s="182"/>
      <c r="B43" s="209"/>
      <c r="C43" s="209"/>
      <c r="D43" s="183"/>
      <c r="E43" s="149"/>
      <c r="F43" s="149"/>
      <c r="G43" s="149"/>
      <c r="H43" s="149"/>
      <c r="I43" s="149"/>
      <c r="J43" s="149"/>
      <c r="K43" s="149"/>
    </row>
    <row r="44" spans="1:11" ht="17.45">
      <c r="A44" s="171" t="s">
        <v>562</v>
      </c>
      <c r="B44" s="171" t="s">
        <v>563</v>
      </c>
      <c r="C44" s="171"/>
      <c r="D44" s="171" t="s">
        <v>564</v>
      </c>
      <c r="E44" s="149" t="s">
        <v>565</v>
      </c>
      <c r="F44" s="149" t="s">
        <v>566</v>
      </c>
      <c r="G44" s="40"/>
      <c r="H44" s="40"/>
      <c r="I44" s="149"/>
      <c r="J44" s="149"/>
      <c r="K44" s="149"/>
    </row>
    <row r="45" spans="1:11" ht="17.25">
      <c r="A45" s="179"/>
      <c r="B45" s="182"/>
      <c r="C45" s="182"/>
      <c r="D45" s="183"/>
      <c r="E45" s="149"/>
      <c r="F45" s="177"/>
      <c r="G45" s="40"/>
      <c r="H45" s="40"/>
      <c r="I45" s="177"/>
      <c r="J45" s="177"/>
      <c r="K45" s="177"/>
    </row>
    <row r="46" spans="1:11" ht="17.45" customHeight="1">
      <c r="A46" s="179"/>
      <c r="B46" s="198"/>
      <c r="C46" s="171" t="s">
        <v>567</v>
      </c>
      <c r="D46" s="171" t="s">
        <v>568</v>
      </c>
      <c r="E46" s="149" t="s">
        <v>569</v>
      </c>
      <c r="F46" s="148" t="s">
        <v>566</v>
      </c>
      <c r="G46" s="149" t="s">
        <v>365</v>
      </c>
      <c r="H46" s="40"/>
      <c r="I46" s="148" t="s">
        <v>222</v>
      </c>
      <c r="J46" s="214" t="s">
        <v>570</v>
      </c>
      <c r="K46" s="148" t="s">
        <v>571</v>
      </c>
    </row>
    <row r="47" spans="1:11" ht="17.45" customHeight="1">
      <c r="A47" s="179"/>
      <c r="B47" s="198"/>
      <c r="C47" s="183"/>
      <c r="D47" s="183"/>
      <c r="E47" s="177"/>
      <c r="F47" s="149"/>
      <c r="G47" s="149"/>
      <c r="H47" s="40"/>
      <c r="I47" s="149"/>
      <c r="J47" s="215"/>
      <c r="K47" s="149"/>
    </row>
    <row r="48" spans="1:11" ht="15">
      <c r="A48" s="179"/>
      <c r="B48" s="171" t="s">
        <v>572</v>
      </c>
      <c r="C48" s="171" t="s">
        <v>573</v>
      </c>
      <c r="D48" s="171" t="s">
        <v>496</v>
      </c>
      <c r="E48" s="148" t="s">
        <v>574</v>
      </c>
      <c r="F48" s="148" t="s">
        <v>575</v>
      </c>
      <c r="G48" s="210"/>
      <c r="H48" s="212"/>
      <c r="I48" s="148" t="s">
        <v>576</v>
      </c>
      <c r="J48" s="171" t="s">
        <v>577</v>
      </c>
      <c r="K48" s="148"/>
    </row>
    <row r="49" spans="1:11" ht="52.5" customHeight="1">
      <c r="A49" s="179"/>
      <c r="B49" s="182"/>
      <c r="C49" s="182"/>
      <c r="D49" s="182"/>
      <c r="E49" s="172"/>
      <c r="F49" s="172"/>
      <c r="G49" s="211"/>
      <c r="H49" s="213"/>
      <c r="I49" s="172"/>
      <c r="J49" s="172"/>
      <c r="K49" s="172"/>
    </row>
    <row r="50" spans="1:11" ht="17.45">
      <c r="A50" s="179"/>
      <c r="B50" s="171" t="s">
        <v>578</v>
      </c>
      <c r="C50" s="171" t="s">
        <v>579</v>
      </c>
      <c r="D50" s="171" t="s">
        <v>580</v>
      </c>
      <c r="E50" s="148" t="s">
        <v>581</v>
      </c>
      <c r="F50" s="148" t="s">
        <v>553</v>
      </c>
      <c r="G50" s="40"/>
      <c r="H50" s="40"/>
      <c r="I50" s="148" t="s">
        <v>576</v>
      </c>
      <c r="J50" s="173" t="s">
        <v>582</v>
      </c>
      <c r="K50" s="148"/>
    </row>
    <row r="51" spans="1:11" ht="17.45">
      <c r="A51" s="179"/>
      <c r="B51" s="182"/>
      <c r="C51" s="182"/>
      <c r="D51" s="183"/>
      <c r="E51" s="177"/>
      <c r="F51" s="149"/>
      <c r="G51" s="40"/>
      <c r="H51" s="40"/>
      <c r="I51" s="149"/>
      <c r="J51" s="174"/>
      <c r="K51" s="149"/>
    </row>
    <row r="52" spans="1:11" ht="17.45">
      <c r="A52" s="179"/>
      <c r="B52" s="171" t="s">
        <v>583</v>
      </c>
      <c r="C52" s="171" t="s">
        <v>584</v>
      </c>
      <c r="D52" s="171" t="s">
        <v>585</v>
      </c>
      <c r="E52" s="148" t="s">
        <v>574</v>
      </c>
      <c r="F52" s="148" t="s">
        <v>575</v>
      </c>
      <c r="G52" s="40"/>
      <c r="H52" s="40"/>
      <c r="I52" s="148"/>
      <c r="J52" s="148"/>
      <c r="K52" s="148"/>
    </row>
    <row r="53" spans="1:11" ht="17.25">
      <c r="A53" s="179"/>
      <c r="B53" s="182"/>
      <c r="C53" s="182"/>
      <c r="D53" s="183"/>
      <c r="E53" s="177"/>
      <c r="F53" s="149"/>
      <c r="G53" s="40"/>
      <c r="H53" s="40"/>
      <c r="I53" s="149"/>
      <c r="J53" s="149"/>
      <c r="K53" s="149"/>
    </row>
    <row r="54" spans="1:11" ht="15">
      <c r="A54" s="179"/>
      <c r="B54" s="171" t="s">
        <v>586</v>
      </c>
      <c r="C54" s="171" t="s">
        <v>587</v>
      </c>
      <c r="D54" s="171" t="s">
        <v>585</v>
      </c>
      <c r="E54" s="148" t="s">
        <v>581</v>
      </c>
      <c r="F54" s="148" t="s">
        <v>588</v>
      </c>
      <c r="G54" s="148" t="s">
        <v>13</v>
      </c>
      <c r="H54" s="148" t="s">
        <v>13</v>
      </c>
      <c r="I54" s="148" t="s">
        <v>222</v>
      </c>
      <c r="J54" s="148" t="s">
        <v>589</v>
      </c>
      <c r="K54" s="148" t="s">
        <v>571</v>
      </c>
    </row>
    <row r="55" spans="1:11" ht="15">
      <c r="A55" s="179"/>
      <c r="B55" s="182"/>
      <c r="C55" s="182"/>
      <c r="D55" s="183"/>
      <c r="E55" s="177"/>
      <c r="F55" s="149"/>
      <c r="G55" s="149"/>
      <c r="H55" s="149"/>
      <c r="I55" s="149"/>
      <c r="J55" s="149"/>
      <c r="K55" s="149"/>
    </row>
    <row r="56" spans="1:11" ht="139.5" customHeight="1">
      <c r="A56" s="179"/>
      <c r="B56" s="33" t="s">
        <v>590</v>
      </c>
      <c r="C56" s="33" t="s">
        <v>591</v>
      </c>
      <c r="D56" s="33" t="s">
        <v>592</v>
      </c>
      <c r="E56" s="34" t="s">
        <v>581</v>
      </c>
      <c r="F56" s="34" t="s">
        <v>593</v>
      </c>
      <c r="G56" s="40"/>
      <c r="H56" s="40"/>
      <c r="I56" s="34"/>
      <c r="J56" s="34"/>
      <c r="K56" s="34"/>
    </row>
    <row r="57" spans="1:11" ht="17.45">
      <c r="A57" s="179"/>
      <c r="B57" s="171" t="s">
        <v>594</v>
      </c>
      <c r="C57" s="171" t="s">
        <v>595</v>
      </c>
      <c r="D57" s="171" t="s">
        <v>596</v>
      </c>
      <c r="E57" s="148" t="s">
        <v>581</v>
      </c>
      <c r="F57" s="34" t="s">
        <v>588</v>
      </c>
      <c r="G57" s="40"/>
      <c r="H57" s="40"/>
      <c r="I57" s="34"/>
      <c r="J57" s="34"/>
      <c r="K57" s="34"/>
    </row>
    <row r="58" spans="1:11" ht="35.1">
      <c r="A58" s="179"/>
      <c r="B58" s="179"/>
      <c r="C58" s="179"/>
      <c r="D58" s="179"/>
      <c r="E58" s="149"/>
      <c r="F58" s="40" t="s">
        <v>597</v>
      </c>
      <c r="G58" s="40"/>
      <c r="H58" s="40"/>
      <c r="I58" s="40"/>
      <c r="J58" s="40"/>
      <c r="K58" s="40"/>
    </row>
  </sheetData>
  <mergeCells count="226">
    <mergeCell ref="G54:G55"/>
    <mergeCell ref="H54:H55"/>
    <mergeCell ref="J50:J51"/>
    <mergeCell ref="K50:K51"/>
    <mergeCell ref="I52:I53"/>
    <mergeCell ref="J52:J53"/>
    <mergeCell ref="K52:K53"/>
    <mergeCell ref="J54:J55"/>
    <mergeCell ref="K54:K55"/>
    <mergeCell ref="J42:J43"/>
    <mergeCell ref="K42:K43"/>
    <mergeCell ref="I44:I45"/>
    <mergeCell ref="J44:J45"/>
    <mergeCell ref="K44:K45"/>
    <mergeCell ref="I46:I47"/>
    <mergeCell ref="J46:J47"/>
    <mergeCell ref="K46:K47"/>
    <mergeCell ref="J48:J49"/>
    <mergeCell ref="K48:K49"/>
    <mergeCell ref="I42:I43"/>
    <mergeCell ref="F46:F47"/>
    <mergeCell ref="B48:B49"/>
    <mergeCell ref="C48:C49"/>
    <mergeCell ref="D48:D49"/>
    <mergeCell ref="E48:E49"/>
    <mergeCell ref="F48:F49"/>
    <mergeCell ref="I54:I55"/>
    <mergeCell ref="B57:B58"/>
    <mergeCell ref="C57:C58"/>
    <mergeCell ref="D57:D58"/>
    <mergeCell ref="E57:E58"/>
    <mergeCell ref="B52:B53"/>
    <mergeCell ref="C52:C53"/>
    <mergeCell ref="D52:D53"/>
    <mergeCell ref="E52:E53"/>
    <mergeCell ref="F52:F53"/>
    <mergeCell ref="B54:B55"/>
    <mergeCell ref="C54:C55"/>
    <mergeCell ref="D54:D55"/>
    <mergeCell ref="E54:E55"/>
    <mergeCell ref="F54:F55"/>
    <mergeCell ref="E50:E51"/>
    <mergeCell ref="F50:F51"/>
    <mergeCell ref="G46:G47"/>
    <mergeCell ref="H42:H43"/>
    <mergeCell ref="I50:I51"/>
    <mergeCell ref="K39:K40"/>
    <mergeCell ref="B42:B43"/>
    <mergeCell ref="C42:C43"/>
    <mergeCell ref="D42:D43"/>
    <mergeCell ref="E42:E43"/>
    <mergeCell ref="F42:F43"/>
    <mergeCell ref="A44:A58"/>
    <mergeCell ref="B44:B45"/>
    <mergeCell ref="C44:C45"/>
    <mergeCell ref="D44:D45"/>
    <mergeCell ref="E44:E45"/>
    <mergeCell ref="F44:F45"/>
    <mergeCell ref="B46:B47"/>
    <mergeCell ref="C46:C47"/>
    <mergeCell ref="D46:D47"/>
    <mergeCell ref="E46:E47"/>
    <mergeCell ref="G48:G49"/>
    <mergeCell ref="H48:H49"/>
    <mergeCell ref="I48:I49"/>
    <mergeCell ref="B50:B51"/>
    <mergeCell ref="C50:C51"/>
    <mergeCell ref="D50:D51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5:K36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F33:F34"/>
    <mergeCell ref="G33:G34"/>
    <mergeCell ref="H33:H34"/>
    <mergeCell ref="I33:I34"/>
    <mergeCell ref="J33:J34"/>
    <mergeCell ref="K33:K34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B25:B26"/>
    <mergeCell ref="C25:C26"/>
    <mergeCell ref="D25:D26"/>
    <mergeCell ref="E25:E26"/>
    <mergeCell ref="F25:F26"/>
    <mergeCell ref="K27:K28"/>
    <mergeCell ref="G25:G26"/>
    <mergeCell ref="H25:H26"/>
    <mergeCell ref="I25:I26"/>
    <mergeCell ref="J25:J26"/>
    <mergeCell ref="K25:K26"/>
    <mergeCell ref="H29:H30"/>
    <mergeCell ref="I29:I30"/>
    <mergeCell ref="J29:J30"/>
    <mergeCell ref="K29:K30"/>
    <mergeCell ref="G29:G30"/>
    <mergeCell ref="H27:H28"/>
    <mergeCell ref="I27:I28"/>
    <mergeCell ref="J27:J28"/>
    <mergeCell ref="K31:K32"/>
    <mergeCell ref="H21:H22"/>
    <mergeCell ref="I21:I22"/>
    <mergeCell ref="J21:J22"/>
    <mergeCell ref="K21:K22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I13:I16"/>
    <mergeCell ref="J13:J16"/>
    <mergeCell ref="K13:K16"/>
    <mergeCell ref="I17:I18"/>
    <mergeCell ref="J17:J18"/>
    <mergeCell ref="K17:K18"/>
    <mergeCell ref="B19:B20"/>
    <mergeCell ref="C19:C20"/>
    <mergeCell ref="D19:D20"/>
    <mergeCell ref="E19:E20"/>
    <mergeCell ref="F19:F20"/>
    <mergeCell ref="B17:B18"/>
    <mergeCell ref="C17:C18"/>
    <mergeCell ref="D17:D18"/>
    <mergeCell ref="E17:E18"/>
    <mergeCell ref="F17:F18"/>
    <mergeCell ref="G19:G20"/>
    <mergeCell ref="H19:H20"/>
    <mergeCell ref="I19:I20"/>
    <mergeCell ref="J19:J20"/>
    <mergeCell ref="K19:K20"/>
    <mergeCell ref="I10:I12"/>
    <mergeCell ref="J10:J12"/>
    <mergeCell ref="G42:G43"/>
    <mergeCell ref="B21:B22"/>
    <mergeCell ref="C21:C22"/>
    <mergeCell ref="D21:D22"/>
    <mergeCell ref="E21:E22"/>
    <mergeCell ref="F21:F22"/>
    <mergeCell ref="K2:K5"/>
    <mergeCell ref="B6:B9"/>
    <mergeCell ref="C6:C9"/>
    <mergeCell ref="D6:D9"/>
    <mergeCell ref="F6:F9"/>
    <mergeCell ref="G6:G9"/>
    <mergeCell ref="H6:H9"/>
    <mergeCell ref="I6:I9"/>
    <mergeCell ref="J6:J9"/>
    <mergeCell ref="K6:K9"/>
    <mergeCell ref="I2:I5"/>
    <mergeCell ref="J2:J5"/>
    <mergeCell ref="K10:K12"/>
    <mergeCell ref="C13:C16"/>
    <mergeCell ref="D13:D16"/>
    <mergeCell ref="F13:F16"/>
    <mergeCell ref="H2:H5"/>
    <mergeCell ref="G17:G18"/>
    <mergeCell ref="H17:H18"/>
    <mergeCell ref="B10:B16"/>
    <mergeCell ref="C10:C12"/>
    <mergeCell ref="D10:D12"/>
    <mergeCell ref="F10:F12"/>
    <mergeCell ref="G10:G12"/>
    <mergeCell ref="H10:H12"/>
    <mergeCell ref="G13:G16"/>
    <mergeCell ref="H13:H16"/>
    <mergeCell ref="A27:A43"/>
    <mergeCell ref="B27:B28"/>
    <mergeCell ref="C27:C28"/>
    <mergeCell ref="D27:D28"/>
    <mergeCell ref="E27:E28"/>
    <mergeCell ref="A17:A26"/>
    <mergeCell ref="F27:F28"/>
    <mergeCell ref="G27:G28"/>
    <mergeCell ref="A2:A16"/>
    <mergeCell ref="B2:B5"/>
    <mergeCell ref="C2:C5"/>
    <mergeCell ref="D2:D5"/>
    <mergeCell ref="F2:F5"/>
    <mergeCell ref="G2:G5"/>
    <mergeCell ref="G21:G22"/>
    <mergeCell ref="B29:B30"/>
    <mergeCell ref="C29:C30"/>
    <mergeCell ref="D29:D30"/>
    <mergeCell ref="E29:E30"/>
    <mergeCell ref="F29:F30"/>
    <mergeCell ref="B33:B34"/>
    <mergeCell ref="C33:C34"/>
    <mergeCell ref="D33:D34"/>
    <mergeCell ref="E33:E34"/>
  </mergeCells>
  <hyperlinks>
    <hyperlink ref="K42:K43" r:id="rId1" display="http://nx-impress-newdump-320qa.bams.corp/" xr:uid="{EF804AA3-5898-4CFF-BB1C-FB5A0796A4DF}"/>
    <hyperlink ref="K49" r:id="rId2" display="http://nx-impress-newdump-320qa.bams.corp/" xr:uid="{B837FD13-02D0-4634-936F-1E98B369912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42CCB-3F0B-4FC8-8B49-4D9908EC5538}">
  <sheetPr>
    <tabColor rgb="FFFFC000"/>
  </sheetPr>
  <dimension ref="A1:S44"/>
  <sheetViews>
    <sheetView topLeftCell="A22" workbookViewId="0">
      <selection activeCell="L63700" sqref="L63700"/>
    </sheetView>
  </sheetViews>
  <sheetFormatPr defaultColWidth="8.7109375" defaultRowHeight="14.45"/>
  <cols>
    <col min="2" max="2" width="17.42578125" customWidth="1"/>
    <col min="4" max="4" width="85.7109375" customWidth="1"/>
    <col min="6" max="6" width="21.140625" customWidth="1"/>
    <col min="7" max="7" width="15.28515625" customWidth="1"/>
    <col min="13" max="13" width="47.140625" customWidth="1"/>
    <col min="16" max="16" width="33" customWidth="1"/>
  </cols>
  <sheetData>
    <row r="1" spans="1:19" ht="43.5">
      <c r="A1" s="118"/>
      <c r="B1" s="7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45</v>
      </c>
      <c r="K1" s="8" t="s">
        <v>39</v>
      </c>
      <c r="L1" s="8" t="s">
        <v>40</v>
      </c>
      <c r="M1" s="8" t="s">
        <v>41</v>
      </c>
      <c r="N1" s="8" t="s">
        <v>42</v>
      </c>
      <c r="O1" s="8" t="s">
        <v>43</v>
      </c>
      <c r="P1" s="8" t="s">
        <v>346</v>
      </c>
      <c r="Q1" s="8" t="s">
        <v>44</v>
      </c>
      <c r="R1" s="8" t="s">
        <v>46</v>
      </c>
      <c r="S1" s="8" t="s">
        <v>47</v>
      </c>
    </row>
    <row r="2" spans="1:19" ht="22.5" customHeight="1">
      <c r="A2" s="118"/>
      <c r="B2" s="9" t="s">
        <v>89</v>
      </c>
      <c r="C2" s="10" t="s">
        <v>598</v>
      </c>
      <c r="D2" s="11" t="s">
        <v>52</v>
      </c>
      <c r="E2" s="11" t="s">
        <v>599</v>
      </c>
      <c r="F2" s="11" t="s">
        <v>345</v>
      </c>
      <c r="G2" s="11" t="s">
        <v>600</v>
      </c>
      <c r="H2" s="11" t="s">
        <v>56</v>
      </c>
      <c r="I2" s="11" t="s">
        <v>67</v>
      </c>
      <c r="J2" s="11" t="s">
        <v>601</v>
      </c>
      <c r="K2" s="11" t="s">
        <v>114</v>
      </c>
      <c r="L2" s="11" t="s">
        <v>345</v>
      </c>
      <c r="M2" s="11" t="s">
        <v>345</v>
      </c>
      <c r="N2" s="11" t="s">
        <v>345</v>
      </c>
      <c r="O2" s="11" t="s">
        <v>69</v>
      </c>
      <c r="P2" s="11" t="s">
        <v>345</v>
      </c>
      <c r="Q2" s="11" t="s">
        <v>345</v>
      </c>
      <c r="R2" s="11" t="s">
        <v>345</v>
      </c>
      <c r="S2" s="11" t="s">
        <v>345</v>
      </c>
    </row>
    <row r="3" spans="1:19" ht="36" customHeight="1">
      <c r="A3" s="118"/>
      <c r="B3" s="9" t="s">
        <v>89</v>
      </c>
      <c r="C3" s="10" t="s">
        <v>602</v>
      </c>
      <c r="D3" s="11" t="s">
        <v>52</v>
      </c>
      <c r="E3" s="11" t="s">
        <v>603</v>
      </c>
      <c r="F3" s="11" t="s">
        <v>345</v>
      </c>
      <c r="G3" s="11" t="s">
        <v>600</v>
      </c>
      <c r="H3" s="11" t="s">
        <v>249</v>
      </c>
      <c r="I3" s="11" t="s">
        <v>67</v>
      </c>
      <c r="J3" s="11" t="s">
        <v>604</v>
      </c>
      <c r="K3" s="119" t="s">
        <v>207</v>
      </c>
      <c r="L3" s="11" t="s">
        <v>345</v>
      </c>
      <c r="M3" s="11" t="s">
        <v>345</v>
      </c>
      <c r="N3" s="11" t="s">
        <v>345</v>
      </c>
      <c r="O3" s="11" t="s">
        <v>69</v>
      </c>
      <c r="P3" s="11" t="s">
        <v>345</v>
      </c>
      <c r="Q3" s="11" t="s">
        <v>345</v>
      </c>
      <c r="R3" s="11" t="s">
        <v>345</v>
      </c>
      <c r="S3" s="11" t="s">
        <v>345</v>
      </c>
    </row>
    <row r="4" spans="1:19" ht="24" customHeight="1">
      <c r="A4" s="118"/>
      <c r="B4" s="9" t="s">
        <v>89</v>
      </c>
      <c r="C4" s="10" t="s">
        <v>605</v>
      </c>
      <c r="D4" s="11" t="s">
        <v>52</v>
      </c>
      <c r="E4" s="11" t="s">
        <v>606</v>
      </c>
      <c r="F4" s="11" t="s">
        <v>345</v>
      </c>
      <c r="G4" s="11" t="s">
        <v>92</v>
      </c>
      <c r="H4" s="11" t="s">
        <v>93</v>
      </c>
      <c r="I4" s="11" t="s">
        <v>67</v>
      </c>
      <c r="J4" s="11" t="s">
        <v>607</v>
      </c>
      <c r="K4" s="11" t="s">
        <v>58</v>
      </c>
      <c r="L4" s="11" t="s">
        <v>345</v>
      </c>
      <c r="M4" s="11" t="s">
        <v>345</v>
      </c>
      <c r="N4" s="11" t="s">
        <v>345</v>
      </c>
      <c r="O4" s="11" t="s">
        <v>69</v>
      </c>
      <c r="P4" s="11" t="s">
        <v>345</v>
      </c>
      <c r="Q4" s="11" t="s">
        <v>345</v>
      </c>
      <c r="R4" s="11" t="s">
        <v>345</v>
      </c>
      <c r="S4" s="11">
        <v>4500</v>
      </c>
    </row>
    <row r="5" spans="1:19" ht="129.75">
      <c r="A5" s="118"/>
      <c r="B5" s="9" t="s">
        <v>89</v>
      </c>
      <c r="C5" s="10" t="s">
        <v>608</v>
      </c>
      <c r="D5" s="11" t="s">
        <v>52</v>
      </c>
      <c r="E5" s="11" t="s">
        <v>609</v>
      </c>
      <c r="F5" s="11" t="s">
        <v>345</v>
      </c>
      <c r="G5" s="11" t="s">
        <v>92</v>
      </c>
      <c r="H5" s="11" t="s">
        <v>93</v>
      </c>
      <c r="I5" s="11" t="s">
        <v>67</v>
      </c>
      <c r="J5" s="11" t="s">
        <v>610</v>
      </c>
      <c r="K5" s="11" t="s">
        <v>132</v>
      </c>
      <c r="L5" s="11" t="s">
        <v>345</v>
      </c>
      <c r="M5" s="11" t="s">
        <v>345</v>
      </c>
      <c r="N5" s="11" t="s">
        <v>345</v>
      </c>
      <c r="O5" s="11" t="s">
        <v>69</v>
      </c>
      <c r="P5" s="11" t="s">
        <v>345</v>
      </c>
      <c r="Q5" s="11" t="s">
        <v>345</v>
      </c>
      <c r="R5" s="11" t="s">
        <v>611</v>
      </c>
      <c r="S5" s="11">
        <v>9900</v>
      </c>
    </row>
    <row r="6" spans="1:19" ht="39" customHeight="1">
      <c r="A6" s="118"/>
      <c r="B6" s="9" t="s">
        <v>71</v>
      </c>
      <c r="C6" s="10" t="s">
        <v>486</v>
      </c>
      <c r="D6" s="11" t="s">
        <v>52</v>
      </c>
      <c r="E6" s="11" t="s">
        <v>612</v>
      </c>
      <c r="F6" s="11" t="s">
        <v>345</v>
      </c>
      <c r="G6" s="11" t="s">
        <v>600</v>
      </c>
      <c r="H6" s="11" t="s">
        <v>93</v>
      </c>
      <c r="I6" s="11" t="s">
        <v>67</v>
      </c>
      <c r="J6" s="11" t="s">
        <v>613</v>
      </c>
      <c r="K6" s="11" t="s">
        <v>68</v>
      </c>
      <c r="L6" s="11" t="s">
        <v>345</v>
      </c>
      <c r="M6" s="11" t="s">
        <v>345</v>
      </c>
      <c r="N6" s="11" t="s">
        <v>345</v>
      </c>
      <c r="O6" s="11" t="s">
        <v>69</v>
      </c>
      <c r="P6" s="11" t="s">
        <v>345</v>
      </c>
      <c r="Q6" s="11" t="s">
        <v>345</v>
      </c>
      <c r="R6" s="11" t="s">
        <v>345</v>
      </c>
      <c r="S6" s="11" t="s">
        <v>345</v>
      </c>
    </row>
    <row r="7" spans="1:19" ht="42" customHeight="1">
      <c r="A7" s="118"/>
      <c r="B7" s="9" t="s">
        <v>89</v>
      </c>
      <c r="C7" s="10" t="s">
        <v>614</v>
      </c>
      <c r="D7" s="11" t="s">
        <v>52</v>
      </c>
      <c r="E7" s="11" t="s">
        <v>615</v>
      </c>
      <c r="F7" s="11" t="s">
        <v>65</v>
      </c>
      <c r="G7" s="11" t="s">
        <v>97</v>
      </c>
      <c r="H7" s="11" t="s">
        <v>149</v>
      </c>
      <c r="I7" s="11" t="s">
        <v>67</v>
      </c>
      <c r="J7" s="11" t="s">
        <v>616</v>
      </c>
      <c r="K7" s="11" t="s">
        <v>114</v>
      </c>
      <c r="L7" s="11" t="s">
        <v>17</v>
      </c>
      <c r="M7" s="11" t="s">
        <v>345</v>
      </c>
      <c r="N7" s="11" t="s">
        <v>345</v>
      </c>
      <c r="O7" s="11" t="s">
        <v>69</v>
      </c>
      <c r="P7" s="11" t="s">
        <v>345</v>
      </c>
      <c r="Q7" s="11" t="s">
        <v>345</v>
      </c>
      <c r="R7" s="11" t="s">
        <v>345</v>
      </c>
      <c r="S7" s="11">
        <v>63000</v>
      </c>
    </row>
    <row r="8" spans="1:19" ht="41.25" customHeight="1">
      <c r="A8" s="118"/>
      <c r="B8" s="9" t="s">
        <v>100</v>
      </c>
      <c r="C8" s="10" t="s">
        <v>617</v>
      </c>
      <c r="D8" s="11" t="s">
        <v>52</v>
      </c>
      <c r="E8" s="11" t="s">
        <v>618</v>
      </c>
      <c r="F8" s="11" t="s">
        <v>345</v>
      </c>
      <c r="G8" s="11" t="s">
        <v>600</v>
      </c>
      <c r="H8" s="11" t="s">
        <v>93</v>
      </c>
      <c r="I8" s="11" t="s">
        <v>67</v>
      </c>
      <c r="J8" s="11" t="s">
        <v>619</v>
      </c>
      <c r="K8" s="11" t="s">
        <v>288</v>
      </c>
      <c r="L8" s="11" t="s">
        <v>345</v>
      </c>
      <c r="M8" s="11" t="s">
        <v>345</v>
      </c>
      <c r="N8" s="11" t="s">
        <v>345</v>
      </c>
      <c r="O8" s="11" t="s">
        <v>69</v>
      </c>
      <c r="P8" s="11" t="s">
        <v>345</v>
      </c>
      <c r="Q8" s="11" t="s">
        <v>345</v>
      </c>
      <c r="R8" s="11" t="s">
        <v>345</v>
      </c>
      <c r="S8" s="11">
        <v>14400</v>
      </c>
    </row>
    <row r="9" spans="1:19" ht="72">
      <c r="A9" s="120" t="s">
        <v>354</v>
      </c>
      <c r="B9" s="11" t="s">
        <v>50</v>
      </c>
      <c r="C9" s="10" t="s">
        <v>63</v>
      </c>
      <c r="D9" s="11" t="s">
        <v>52</v>
      </c>
      <c r="E9" s="11" t="s">
        <v>64</v>
      </c>
      <c r="F9" s="11" t="s">
        <v>65</v>
      </c>
      <c r="G9" s="11" t="s">
        <v>92</v>
      </c>
      <c r="H9" s="11" t="s">
        <v>66</v>
      </c>
      <c r="I9" s="11" t="s">
        <v>67</v>
      </c>
      <c r="J9" s="12">
        <v>46112.706250000003</v>
      </c>
      <c r="K9" s="11" t="s">
        <v>68</v>
      </c>
      <c r="L9" s="11" t="s">
        <v>67</v>
      </c>
      <c r="M9" s="11" t="s">
        <v>345</v>
      </c>
      <c r="N9" s="11" t="s">
        <v>345</v>
      </c>
      <c r="O9" s="11" t="s">
        <v>69</v>
      </c>
      <c r="P9" s="11" t="s">
        <v>345</v>
      </c>
      <c r="Q9" s="11" t="s">
        <v>345</v>
      </c>
      <c r="R9" s="11" t="s">
        <v>355</v>
      </c>
      <c r="S9" s="11" t="s">
        <v>345</v>
      </c>
    </row>
    <row r="10" spans="1:19" ht="144">
      <c r="A10" s="78" t="s">
        <v>356</v>
      </c>
      <c r="B10" s="79" t="s">
        <v>71</v>
      </c>
      <c r="C10" s="80" t="s">
        <v>72</v>
      </c>
      <c r="D10" s="79" t="s">
        <v>52</v>
      </c>
      <c r="E10" s="79" t="s">
        <v>73</v>
      </c>
      <c r="F10" s="79" t="s">
        <v>345</v>
      </c>
      <c r="G10" s="79" t="s">
        <v>74</v>
      </c>
      <c r="H10" s="79" t="s">
        <v>66</v>
      </c>
      <c r="I10" s="79" t="s">
        <v>67</v>
      </c>
      <c r="J10" s="81">
        <v>46111.837500000001</v>
      </c>
      <c r="K10" s="79" t="s">
        <v>66</v>
      </c>
      <c r="L10" s="79" t="s">
        <v>67</v>
      </c>
      <c r="M10" s="79" t="s">
        <v>345</v>
      </c>
      <c r="N10" s="79" t="s">
        <v>345</v>
      </c>
      <c r="O10" s="79" t="s">
        <v>69</v>
      </c>
      <c r="P10" s="79" t="s">
        <v>345</v>
      </c>
      <c r="Q10" s="79" t="s">
        <v>345</v>
      </c>
      <c r="R10" s="79" t="s">
        <v>620</v>
      </c>
      <c r="S10" s="79">
        <v>7200</v>
      </c>
    </row>
    <row r="11" spans="1:19" ht="201.75">
      <c r="A11" s="78" t="s">
        <v>357</v>
      </c>
      <c r="B11" s="79" t="s">
        <v>89</v>
      </c>
      <c r="C11" s="80" t="s">
        <v>90</v>
      </c>
      <c r="D11" s="79" t="s">
        <v>52</v>
      </c>
      <c r="E11" s="79" t="s">
        <v>91</v>
      </c>
      <c r="F11" s="79" t="s">
        <v>54</v>
      </c>
      <c r="G11" s="79" t="s">
        <v>79</v>
      </c>
      <c r="H11" s="79" t="s">
        <v>93</v>
      </c>
      <c r="I11" s="79" t="s">
        <v>67</v>
      </c>
      <c r="J11" s="81">
        <v>46107.42083333333</v>
      </c>
      <c r="K11" s="79" t="s">
        <v>66</v>
      </c>
      <c r="L11" s="79" t="s">
        <v>67</v>
      </c>
      <c r="M11" s="79" t="s">
        <v>345</v>
      </c>
      <c r="N11" s="79" t="s">
        <v>345</v>
      </c>
      <c r="O11" s="79" t="s">
        <v>69</v>
      </c>
      <c r="P11" s="79" t="s">
        <v>345</v>
      </c>
      <c r="Q11" s="79" t="s">
        <v>345</v>
      </c>
      <c r="R11" s="79" t="s">
        <v>72</v>
      </c>
      <c r="S11" s="79">
        <v>39600</v>
      </c>
    </row>
    <row r="12" spans="1:19" ht="201.75">
      <c r="A12" s="118"/>
      <c r="B12" s="9" t="s">
        <v>89</v>
      </c>
      <c r="C12" s="10" t="s">
        <v>621</v>
      </c>
      <c r="D12" s="11" t="s">
        <v>52</v>
      </c>
      <c r="E12" s="11" t="s">
        <v>622</v>
      </c>
      <c r="F12" s="11" t="s">
        <v>54</v>
      </c>
      <c r="G12" s="11" t="s">
        <v>79</v>
      </c>
      <c r="H12" s="11" t="s">
        <v>93</v>
      </c>
      <c r="I12" s="11" t="s">
        <v>67</v>
      </c>
      <c r="J12" s="11">
        <v>46107.411110000001</v>
      </c>
      <c r="K12" s="11" t="s">
        <v>66</v>
      </c>
      <c r="L12" s="11" t="s">
        <v>17</v>
      </c>
      <c r="M12" s="11" t="s">
        <v>345</v>
      </c>
      <c r="N12" s="11" t="s">
        <v>345</v>
      </c>
      <c r="O12" s="11" t="s">
        <v>69</v>
      </c>
      <c r="P12" s="11" t="s">
        <v>345</v>
      </c>
      <c r="Q12" s="11" t="s">
        <v>345</v>
      </c>
      <c r="R12" s="11" t="s">
        <v>72</v>
      </c>
      <c r="S12" s="11">
        <v>52200</v>
      </c>
    </row>
    <row r="13" spans="1:19" ht="245.25">
      <c r="A13" s="118"/>
      <c r="B13" s="9" t="s">
        <v>100</v>
      </c>
      <c r="C13" s="10" t="s">
        <v>623</v>
      </c>
      <c r="D13" s="11" t="s">
        <v>52</v>
      </c>
      <c r="E13" s="11" t="s">
        <v>624</v>
      </c>
      <c r="F13" s="11" t="s">
        <v>345</v>
      </c>
      <c r="G13" s="11" t="s">
        <v>600</v>
      </c>
      <c r="H13" s="11" t="s">
        <v>194</v>
      </c>
      <c r="I13" s="11" t="s">
        <v>67</v>
      </c>
      <c r="J13" s="11">
        <v>46105.631249999999</v>
      </c>
      <c r="K13" s="11" t="s">
        <v>207</v>
      </c>
      <c r="L13" s="11" t="s">
        <v>345</v>
      </c>
      <c r="M13" s="11" t="s">
        <v>174</v>
      </c>
      <c r="N13" s="11" t="s">
        <v>345</v>
      </c>
      <c r="O13" s="11" t="s">
        <v>625</v>
      </c>
      <c r="P13" s="11" t="s">
        <v>345</v>
      </c>
      <c r="Q13" s="11" t="s">
        <v>345</v>
      </c>
      <c r="R13" s="11" t="s">
        <v>345</v>
      </c>
      <c r="S13" s="11" t="s">
        <v>345</v>
      </c>
    </row>
    <row r="14" spans="1:19" ht="201.75">
      <c r="A14" s="121" t="s">
        <v>358</v>
      </c>
      <c r="B14" s="79" t="s">
        <v>100</v>
      </c>
      <c r="C14" s="80" t="s">
        <v>359</v>
      </c>
      <c r="D14" s="79" t="s">
        <v>52</v>
      </c>
      <c r="E14" s="79" t="s">
        <v>360</v>
      </c>
      <c r="F14" s="79" t="s">
        <v>65</v>
      </c>
      <c r="G14" s="79" t="s">
        <v>626</v>
      </c>
      <c r="H14" s="79" t="s">
        <v>93</v>
      </c>
      <c r="I14" s="79" t="s">
        <v>67</v>
      </c>
      <c r="J14" s="81">
        <v>46105.355555555558</v>
      </c>
      <c r="K14" s="79" t="s">
        <v>66</v>
      </c>
      <c r="L14" s="79" t="s">
        <v>67</v>
      </c>
      <c r="M14" s="79" t="s">
        <v>345</v>
      </c>
      <c r="N14" s="79" t="s">
        <v>249</v>
      </c>
      <c r="O14" s="79" t="s">
        <v>69</v>
      </c>
      <c r="P14" s="79" t="s">
        <v>345</v>
      </c>
      <c r="Q14" s="79" t="s">
        <v>345</v>
      </c>
      <c r="R14" s="79" t="s">
        <v>627</v>
      </c>
      <c r="S14" s="79">
        <v>69300</v>
      </c>
    </row>
    <row r="15" spans="1:19" ht="129.75">
      <c r="A15" s="118"/>
      <c r="B15" s="9" t="s">
        <v>50</v>
      </c>
      <c r="C15" s="10" t="s">
        <v>109</v>
      </c>
      <c r="D15" s="11" t="s">
        <v>52</v>
      </c>
      <c r="E15" s="11" t="s">
        <v>110</v>
      </c>
      <c r="F15" s="11" t="s">
        <v>65</v>
      </c>
      <c r="G15" s="11" t="s">
        <v>55</v>
      </c>
      <c r="H15" s="11" t="s">
        <v>56</v>
      </c>
      <c r="I15" s="11" t="s">
        <v>67</v>
      </c>
      <c r="J15" s="11">
        <v>46099.634030000001</v>
      </c>
      <c r="K15" s="11" t="s">
        <v>68</v>
      </c>
      <c r="L15" s="11" t="s">
        <v>67</v>
      </c>
      <c r="M15" s="11" t="s">
        <v>345</v>
      </c>
      <c r="N15" s="11" t="s">
        <v>345</v>
      </c>
      <c r="O15" s="11" t="s">
        <v>69</v>
      </c>
      <c r="P15" s="11" t="s">
        <v>345</v>
      </c>
      <c r="Q15" s="11" t="s">
        <v>345</v>
      </c>
      <c r="R15" s="11" t="s">
        <v>111</v>
      </c>
      <c r="S15" s="11">
        <v>27900</v>
      </c>
    </row>
    <row r="16" spans="1:19" ht="144">
      <c r="A16" s="118"/>
      <c r="B16" s="9" t="s">
        <v>50</v>
      </c>
      <c r="C16" s="10" t="s">
        <v>366</v>
      </c>
      <c r="D16" s="11" t="s">
        <v>52</v>
      </c>
      <c r="E16" s="11" t="s">
        <v>367</v>
      </c>
      <c r="F16" s="11" t="s">
        <v>65</v>
      </c>
      <c r="G16" s="11" t="s">
        <v>92</v>
      </c>
      <c r="H16" s="11" t="s">
        <v>56</v>
      </c>
      <c r="I16" s="11" t="s">
        <v>67</v>
      </c>
      <c r="J16" s="11">
        <v>46098.456939999996</v>
      </c>
      <c r="K16" s="11" t="s">
        <v>288</v>
      </c>
      <c r="L16" s="11" t="s">
        <v>67</v>
      </c>
      <c r="M16" s="11" t="s">
        <v>345</v>
      </c>
      <c r="N16" s="11" t="s">
        <v>345</v>
      </c>
      <c r="O16" s="11" t="s">
        <v>69</v>
      </c>
      <c r="P16" s="11" t="s">
        <v>345</v>
      </c>
      <c r="Q16" s="11" t="s">
        <v>345</v>
      </c>
      <c r="R16" s="11" t="s">
        <v>368</v>
      </c>
      <c r="S16" s="11">
        <v>72000</v>
      </c>
    </row>
    <row r="17" spans="1:19" ht="115.5">
      <c r="A17" s="118"/>
      <c r="B17" s="9" t="s">
        <v>100</v>
      </c>
      <c r="C17" s="10" t="s">
        <v>112</v>
      </c>
      <c r="D17" s="11" t="s">
        <v>52</v>
      </c>
      <c r="E17" s="11" t="s">
        <v>113</v>
      </c>
      <c r="F17" s="11" t="s">
        <v>54</v>
      </c>
      <c r="G17" s="11" t="s">
        <v>55</v>
      </c>
      <c r="H17" s="11" t="s">
        <v>93</v>
      </c>
      <c r="I17" s="11" t="s">
        <v>67</v>
      </c>
      <c r="J17" s="11">
        <v>46098.425689999996</v>
      </c>
      <c r="K17" s="11" t="s">
        <v>114</v>
      </c>
      <c r="L17" s="11" t="s">
        <v>67</v>
      </c>
      <c r="M17" s="11" t="s">
        <v>345</v>
      </c>
      <c r="N17" s="11" t="s">
        <v>345</v>
      </c>
      <c r="O17" s="11" t="s">
        <v>82</v>
      </c>
      <c r="P17" s="11" t="s">
        <v>345</v>
      </c>
      <c r="Q17" s="11" t="s">
        <v>345</v>
      </c>
      <c r="R17" s="11" t="s">
        <v>115</v>
      </c>
      <c r="S17" s="11">
        <v>113400</v>
      </c>
    </row>
    <row r="18" spans="1:19" ht="159">
      <c r="A18" s="122" t="s">
        <v>345</v>
      </c>
      <c r="B18" s="74" t="s">
        <v>100</v>
      </c>
      <c r="C18" s="76" t="s">
        <v>628</v>
      </c>
      <c r="D18" s="75" t="s">
        <v>52</v>
      </c>
      <c r="E18" s="75" t="s">
        <v>629</v>
      </c>
      <c r="F18" s="75" t="s">
        <v>345</v>
      </c>
      <c r="G18" s="75" t="s">
        <v>74</v>
      </c>
      <c r="H18" s="75" t="s">
        <v>119</v>
      </c>
      <c r="I18" s="75" t="s">
        <v>67</v>
      </c>
      <c r="J18" s="75">
        <v>46097.84792</v>
      </c>
      <c r="K18" s="75" t="s">
        <v>630</v>
      </c>
      <c r="L18" s="75" t="s">
        <v>345</v>
      </c>
      <c r="M18" s="75" t="s">
        <v>120</v>
      </c>
      <c r="N18" s="75" t="s">
        <v>345</v>
      </c>
      <c r="O18" s="75" t="s">
        <v>631</v>
      </c>
      <c r="P18" s="75" t="s">
        <v>345</v>
      </c>
      <c r="Q18" s="75" t="s">
        <v>345</v>
      </c>
      <c r="R18" s="75" t="s">
        <v>632</v>
      </c>
      <c r="S18" s="75" t="s">
        <v>345</v>
      </c>
    </row>
    <row r="19" spans="1:19" ht="101.25">
      <c r="A19" s="118"/>
      <c r="B19" s="9" t="s">
        <v>71</v>
      </c>
      <c r="C19" s="10" t="s">
        <v>122</v>
      </c>
      <c r="D19" s="11" t="s">
        <v>52</v>
      </c>
      <c r="E19" s="11" t="s">
        <v>123</v>
      </c>
      <c r="F19" s="11" t="s">
        <v>65</v>
      </c>
      <c r="G19" s="11" t="s">
        <v>74</v>
      </c>
      <c r="H19" s="11" t="s">
        <v>93</v>
      </c>
      <c r="I19" s="11" t="s">
        <v>67</v>
      </c>
      <c r="J19" s="11">
        <v>46097.5</v>
      </c>
      <c r="K19" s="11" t="s">
        <v>114</v>
      </c>
      <c r="L19" s="11" t="s">
        <v>67</v>
      </c>
      <c r="M19" s="11" t="s">
        <v>124</v>
      </c>
      <c r="N19" s="11" t="s">
        <v>345</v>
      </c>
      <c r="O19" s="11" t="s">
        <v>69</v>
      </c>
      <c r="P19" s="11" t="s">
        <v>345</v>
      </c>
      <c r="Q19" s="11" t="s">
        <v>345</v>
      </c>
      <c r="R19" s="11" t="s">
        <v>125</v>
      </c>
      <c r="S19" s="11">
        <v>98100</v>
      </c>
    </row>
    <row r="20" spans="1:19" ht="173.25">
      <c r="A20" s="118"/>
      <c r="B20" s="9" t="s">
        <v>100</v>
      </c>
      <c r="C20" s="10" t="s">
        <v>633</v>
      </c>
      <c r="D20" s="11" t="s">
        <v>52</v>
      </c>
      <c r="E20" s="11" t="s">
        <v>634</v>
      </c>
      <c r="F20" s="11" t="s">
        <v>65</v>
      </c>
      <c r="G20" s="11" t="s">
        <v>55</v>
      </c>
      <c r="H20" s="11" t="s">
        <v>56</v>
      </c>
      <c r="I20" s="11" t="s">
        <v>67</v>
      </c>
      <c r="J20" s="11">
        <v>46094.638890000002</v>
      </c>
      <c r="K20" s="11" t="s">
        <v>207</v>
      </c>
      <c r="L20" s="11" t="s">
        <v>17</v>
      </c>
      <c r="M20" s="11" t="s">
        <v>345</v>
      </c>
      <c r="N20" s="11" t="s">
        <v>345</v>
      </c>
      <c r="O20" s="11" t="s">
        <v>69</v>
      </c>
      <c r="P20" s="11" t="s">
        <v>345</v>
      </c>
      <c r="Q20" s="11" t="s">
        <v>345</v>
      </c>
      <c r="R20" s="11" t="s">
        <v>635</v>
      </c>
      <c r="S20" s="11" t="s">
        <v>345</v>
      </c>
    </row>
    <row r="21" spans="1:19" ht="115.5">
      <c r="A21" s="123" t="s">
        <v>345</v>
      </c>
      <c r="B21" s="84" t="s">
        <v>100</v>
      </c>
      <c r="C21" s="83" t="s">
        <v>636</v>
      </c>
      <c r="D21" s="82" t="s">
        <v>52</v>
      </c>
      <c r="E21" s="82" t="s">
        <v>637</v>
      </c>
      <c r="F21" s="82" t="s">
        <v>345</v>
      </c>
      <c r="G21" s="82" t="s">
        <v>600</v>
      </c>
      <c r="H21" s="82" t="s">
        <v>638</v>
      </c>
      <c r="I21" s="82" t="s">
        <v>80</v>
      </c>
      <c r="J21" s="82" t="s">
        <v>639</v>
      </c>
      <c r="K21" s="82" t="s">
        <v>207</v>
      </c>
      <c r="L21" s="82" t="s">
        <v>345</v>
      </c>
      <c r="M21" s="82" t="s">
        <v>345</v>
      </c>
      <c r="N21" s="82" t="s">
        <v>345</v>
      </c>
      <c r="O21" s="82" t="s">
        <v>69</v>
      </c>
      <c r="P21" s="82" t="s">
        <v>345</v>
      </c>
      <c r="Q21" s="82" t="s">
        <v>345</v>
      </c>
      <c r="R21" s="82" t="s">
        <v>345</v>
      </c>
      <c r="S21" s="82" t="s">
        <v>345</v>
      </c>
    </row>
    <row r="22" spans="1:19" ht="42.6" customHeight="1">
      <c r="A22" s="118"/>
      <c r="B22" s="206" t="s">
        <v>640</v>
      </c>
      <c r="C22" s="207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8"/>
    </row>
    <row r="23" spans="1:19" ht="43.5">
      <c r="A23" s="9" t="s">
        <v>89</v>
      </c>
      <c r="B23" s="10" t="s">
        <v>130</v>
      </c>
      <c r="C23" s="11" t="s">
        <v>52</v>
      </c>
      <c r="D23" s="11" t="s">
        <v>131</v>
      </c>
      <c r="E23" s="11" t="s">
        <v>65</v>
      </c>
      <c r="F23" s="11" t="s">
        <v>55</v>
      </c>
      <c r="G23" s="11" t="s">
        <v>93</v>
      </c>
      <c r="H23" s="11" t="s">
        <v>67</v>
      </c>
      <c r="I23" s="11" t="s">
        <v>132</v>
      </c>
      <c r="J23" s="11" t="s">
        <v>67</v>
      </c>
      <c r="K23" s="11" t="s">
        <v>345</v>
      </c>
      <c r="L23" s="11" t="s">
        <v>345</v>
      </c>
      <c r="M23" s="11" t="s">
        <v>69</v>
      </c>
      <c r="N23" s="11" t="s">
        <v>345</v>
      </c>
      <c r="O23" s="11" t="s">
        <v>345</v>
      </c>
      <c r="P23" s="12">
        <v>46093.62777777778</v>
      </c>
      <c r="Q23" s="11" t="s">
        <v>133</v>
      </c>
      <c r="R23" s="11">
        <v>115200</v>
      </c>
      <c r="S23" s="11" t="s">
        <v>345</v>
      </c>
    </row>
    <row r="24" spans="1:19" ht="42.6">
      <c r="A24" s="9" t="s">
        <v>71</v>
      </c>
      <c r="B24" s="10" t="s">
        <v>122</v>
      </c>
      <c r="C24" s="11" t="s">
        <v>52</v>
      </c>
      <c r="D24" s="11" t="s">
        <v>123</v>
      </c>
      <c r="E24" s="11" t="s">
        <v>65</v>
      </c>
      <c r="F24" s="11" t="s">
        <v>74</v>
      </c>
      <c r="G24" s="11" t="s">
        <v>93</v>
      </c>
      <c r="H24" s="11" t="s">
        <v>67</v>
      </c>
      <c r="I24" s="11" t="s">
        <v>114</v>
      </c>
      <c r="J24" s="11" t="s">
        <v>67</v>
      </c>
      <c r="K24" s="11" t="s">
        <v>124</v>
      </c>
      <c r="L24" s="11" t="s">
        <v>345</v>
      </c>
      <c r="M24" s="11" t="s">
        <v>69</v>
      </c>
      <c r="N24" s="11" t="s">
        <v>345</v>
      </c>
      <c r="O24" s="11" t="s">
        <v>345</v>
      </c>
      <c r="P24" s="12">
        <v>46097.5</v>
      </c>
      <c r="Q24" s="11" t="s">
        <v>125</v>
      </c>
      <c r="R24" s="11">
        <v>83700</v>
      </c>
      <c r="S24" s="11" t="s">
        <v>345</v>
      </c>
    </row>
    <row r="25" spans="1:19" ht="168.6">
      <c r="A25" s="9" t="s">
        <v>50</v>
      </c>
      <c r="B25" s="10" t="s">
        <v>161</v>
      </c>
      <c r="C25" s="11" t="s">
        <v>52</v>
      </c>
      <c r="D25" s="11" t="s">
        <v>179</v>
      </c>
      <c r="E25" s="11" t="s">
        <v>65</v>
      </c>
      <c r="F25" s="11" t="s">
        <v>55</v>
      </c>
      <c r="G25" s="11" t="s">
        <v>93</v>
      </c>
      <c r="H25" s="11" t="s">
        <v>67</v>
      </c>
      <c r="I25" s="11" t="s">
        <v>114</v>
      </c>
      <c r="J25" s="11" t="s">
        <v>67</v>
      </c>
      <c r="K25" s="11" t="s">
        <v>345</v>
      </c>
      <c r="L25" s="11" t="s">
        <v>345</v>
      </c>
      <c r="M25" s="11" t="s">
        <v>69</v>
      </c>
      <c r="N25" s="11" t="s">
        <v>345</v>
      </c>
      <c r="O25" s="11" t="s">
        <v>345</v>
      </c>
      <c r="P25" s="11" t="s">
        <v>180</v>
      </c>
      <c r="Q25" s="11" t="s">
        <v>181</v>
      </c>
      <c r="R25" s="11">
        <v>58500</v>
      </c>
      <c r="S25" s="11" t="s">
        <v>177</v>
      </c>
    </row>
    <row r="29" spans="1:19" ht="28.5" customHeight="1"/>
    <row r="39" ht="35.25" customHeight="1"/>
    <row r="42" ht="30.75" customHeight="1"/>
    <row r="44" ht="60.75" customHeight="1"/>
  </sheetData>
  <mergeCells count="1">
    <mergeCell ref="B22:S22"/>
  </mergeCells>
  <hyperlinks>
    <hyperlink ref="B24" r:id="rId1" xr:uid="{35B1D7B2-334E-4C19-9001-ABB5D2EDC63B}"/>
    <hyperlink ref="B23" r:id="rId2" xr:uid="{06C5561C-CD32-47AA-BA28-F1FFCA33B67A}"/>
    <hyperlink ref="B25" r:id="rId3" xr:uid="{7312EE20-D8E9-40CB-A70A-F6C911D5B48C}"/>
    <hyperlink ref="C2" r:id="rId4" xr:uid="{14442984-5463-4F09-9140-53BE987A6BB4}"/>
    <hyperlink ref="C3" r:id="rId5" xr:uid="{2382A15B-DFCC-4690-AFFF-36D0815A4D95}"/>
    <hyperlink ref="C4" r:id="rId6" xr:uid="{5A9E70C7-CD9B-4BE2-8176-B8786B38BCC3}"/>
    <hyperlink ref="C5" r:id="rId7" xr:uid="{0DDCA278-CA15-4A6A-8F98-35ECA0EBAC07}"/>
    <hyperlink ref="C6" r:id="rId8" xr:uid="{4F1F1C94-D53E-4AFA-871B-A3C98AB9F111}"/>
    <hyperlink ref="C7" r:id="rId9" xr:uid="{F766F26A-F152-4A19-A439-6CAA4A648701}"/>
    <hyperlink ref="C8" r:id="rId10" xr:uid="{628388C8-3424-4F49-91A0-7F14872C2FF6}"/>
    <hyperlink ref="C9" r:id="rId11" xr:uid="{3E070D49-B7D5-4B64-822E-1AD25F87B29A}"/>
    <hyperlink ref="C10" r:id="rId12" xr:uid="{A759CF70-9C9E-469D-BD3A-81E9F44BBB3B}"/>
    <hyperlink ref="C11" r:id="rId13" xr:uid="{C0B050E7-9B6E-4D09-AC1C-0FCF0A3E13C4}"/>
    <hyperlink ref="C12" r:id="rId14" xr:uid="{7A3B5D1F-41EF-4E9F-BD4A-6BB2C4AC9A13}"/>
    <hyperlink ref="C13" r:id="rId15" xr:uid="{2E9F756E-636D-4FB3-B20E-3B11618E3CC0}"/>
    <hyperlink ref="C14" r:id="rId16" xr:uid="{5478BB13-17E3-464D-87F1-3DDFAD6210C3}"/>
    <hyperlink ref="C15" r:id="rId17" xr:uid="{80C944E3-0F49-4B33-B621-9AE141AD476A}"/>
    <hyperlink ref="C16" r:id="rId18" xr:uid="{2F27E8F8-5FCC-4418-A4E7-00A44380327D}"/>
    <hyperlink ref="C17" r:id="rId19" xr:uid="{2F2C5B89-E5DE-4B1D-B9ED-800869C71F86}"/>
    <hyperlink ref="C18" r:id="rId20" xr:uid="{49DE59F5-E742-47F0-A52E-686F6BCBA829}"/>
    <hyperlink ref="C19" r:id="rId21" xr:uid="{6E51876C-BCF1-4747-B4AB-2358999A37A1}"/>
    <hyperlink ref="C20" r:id="rId22" xr:uid="{47AB0392-F6E1-46FE-B71C-288F44420631}"/>
    <hyperlink ref="C21" r:id="rId23" xr:uid="{35A89012-727F-4C04-91D0-C5710EAD2DF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A1AB-5430-4CF0-A7E1-0D9CAEE29514}">
  <sheetPr>
    <tabColor theme="5" tint="0.39997558519241921"/>
  </sheetPr>
  <dimension ref="A1:V21"/>
  <sheetViews>
    <sheetView topLeftCell="A19" workbookViewId="0">
      <selection activeCell="A24" sqref="A24"/>
    </sheetView>
  </sheetViews>
  <sheetFormatPr defaultRowHeight="15"/>
  <cols>
    <col min="1" max="1" width="29.5703125" customWidth="1"/>
    <col min="5" max="5" width="56" customWidth="1"/>
    <col min="7" max="7" width="16.7109375" customWidth="1"/>
  </cols>
  <sheetData>
    <row r="1" spans="1:22" ht="43.5">
      <c r="A1" s="7" t="s">
        <v>641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45</v>
      </c>
      <c r="K1" s="8" t="s">
        <v>39</v>
      </c>
      <c r="L1" s="8" t="s">
        <v>40</v>
      </c>
      <c r="M1" s="8" t="s">
        <v>41</v>
      </c>
      <c r="N1" s="8" t="s">
        <v>42</v>
      </c>
      <c r="O1" s="8" t="s">
        <v>43</v>
      </c>
      <c r="P1" s="8" t="s">
        <v>346</v>
      </c>
      <c r="Q1" s="8" t="s">
        <v>44</v>
      </c>
      <c r="R1" s="8" t="s">
        <v>46</v>
      </c>
      <c r="S1" s="8" t="s">
        <v>47</v>
      </c>
      <c r="T1" s="8" t="s">
        <v>48</v>
      </c>
      <c r="U1" s="8" t="s">
        <v>347</v>
      </c>
      <c r="V1" s="8" t="s">
        <v>348</v>
      </c>
    </row>
    <row r="2" spans="1:22" ht="72">
      <c r="A2" s="78" t="s">
        <v>642</v>
      </c>
      <c r="B2" s="79" t="s">
        <v>89</v>
      </c>
      <c r="C2" s="80" t="s">
        <v>146</v>
      </c>
      <c r="D2" s="79" t="s">
        <v>147</v>
      </c>
      <c r="E2" s="79" t="s">
        <v>148</v>
      </c>
      <c r="F2" s="79" t="s">
        <v>345</v>
      </c>
      <c r="G2" s="79" t="s">
        <v>79</v>
      </c>
      <c r="H2" s="79" t="s">
        <v>149</v>
      </c>
      <c r="I2" s="79" t="s">
        <v>17</v>
      </c>
      <c r="J2" s="81">
        <v>46087.384027777778</v>
      </c>
      <c r="K2" s="79" t="s">
        <v>132</v>
      </c>
      <c r="L2" s="79" t="s">
        <v>67</v>
      </c>
      <c r="M2" s="79" t="s">
        <v>345</v>
      </c>
      <c r="N2" s="79" t="s">
        <v>149</v>
      </c>
      <c r="O2" s="79" t="s">
        <v>69</v>
      </c>
      <c r="P2" s="79" t="s">
        <v>345</v>
      </c>
      <c r="Q2" s="79" t="s">
        <v>345</v>
      </c>
      <c r="R2" s="79" t="s">
        <v>643</v>
      </c>
      <c r="S2" s="79">
        <v>62100</v>
      </c>
      <c r="T2" s="79" t="s">
        <v>345</v>
      </c>
      <c r="U2" s="79" t="s">
        <v>345</v>
      </c>
      <c r="V2" s="79" t="s">
        <v>345</v>
      </c>
    </row>
    <row r="3" spans="1:22" s="46" customFormat="1" ht="173.25">
      <c r="A3" s="14" t="s">
        <v>644</v>
      </c>
      <c r="B3" s="16" t="s">
        <v>71</v>
      </c>
      <c r="C3" s="15" t="s">
        <v>171</v>
      </c>
      <c r="D3" s="16" t="s">
        <v>137</v>
      </c>
      <c r="E3" s="16" t="s">
        <v>172</v>
      </c>
      <c r="F3" s="16" t="s">
        <v>65</v>
      </c>
      <c r="G3" s="16" t="s">
        <v>79</v>
      </c>
      <c r="H3" s="16" t="s">
        <v>149</v>
      </c>
      <c r="I3" s="16" t="s">
        <v>173</v>
      </c>
      <c r="J3" s="16" t="s">
        <v>175</v>
      </c>
      <c r="K3" s="16" t="s">
        <v>114</v>
      </c>
      <c r="L3" s="16" t="s">
        <v>67</v>
      </c>
      <c r="M3" s="16" t="s">
        <v>174</v>
      </c>
      <c r="N3" s="16" t="s">
        <v>345</v>
      </c>
      <c r="O3" s="16" t="s">
        <v>69</v>
      </c>
      <c r="P3" s="16" t="s">
        <v>345</v>
      </c>
      <c r="Q3" s="16" t="s">
        <v>345</v>
      </c>
      <c r="R3" s="16" t="s">
        <v>375</v>
      </c>
      <c r="S3" s="16">
        <v>43200</v>
      </c>
      <c r="T3" s="16" t="s">
        <v>177</v>
      </c>
      <c r="U3" s="16" t="s">
        <v>345</v>
      </c>
      <c r="V3" s="16" t="s">
        <v>345</v>
      </c>
    </row>
    <row r="4" spans="1:22" ht="201.75">
      <c r="A4" s="78" t="s">
        <v>645</v>
      </c>
      <c r="B4" s="79" t="s">
        <v>89</v>
      </c>
      <c r="C4" s="80" t="s">
        <v>223</v>
      </c>
      <c r="D4" s="79" t="s">
        <v>137</v>
      </c>
      <c r="E4" s="79" t="s">
        <v>224</v>
      </c>
      <c r="F4" s="79" t="s">
        <v>65</v>
      </c>
      <c r="G4" s="79" t="s">
        <v>55</v>
      </c>
      <c r="H4" s="79" t="s">
        <v>206</v>
      </c>
      <c r="I4" s="79" t="s">
        <v>173</v>
      </c>
      <c r="J4" s="81">
        <v>46043.643055555556</v>
      </c>
      <c r="K4" s="79" t="s">
        <v>103</v>
      </c>
      <c r="L4" s="79" t="s">
        <v>67</v>
      </c>
      <c r="M4" s="79" t="s">
        <v>174</v>
      </c>
      <c r="N4" s="79" t="s">
        <v>93</v>
      </c>
      <c r="O4" s="79" t="s">
        <v>104</v>
      </c>
      <c r="P4" s="79" t="s">
        <v>345</v>
      </c>
      <c r="Q4" s="79" t="s">
        <v>345</v>
      </c>
      <c r="R4" s="79" t="s">
        <v>378</v>
      </c>
      <c r="S4" s="79" t="s">
        <v>345</v>
      </c>
      <c r="T4" s="79" t="s">
        <v>345</v>
      </c>
      <c r="U4" s="79" t="s">
        <v>345</v>
      </c>
      <c r="V4" s="79" t="s">
        <v>345</v>
      </c>
    </row>
    <row r="5" spans="1:22" ht="405">
      <c r="A5" s="78" t="s">
        <v>646</v>
      </c>
      <c r="B5" s="79" t="s">
        <v>89</v>
      </c>
      <c r="C5" s="80" t="s">
        <v>226</v>
      </c>
      <c r="D5" s="79" t="s">
        <v>147</v>
      </c>
      <c r="E5" s="79" t="s">
        <v>227</v>
      </c>
      <c r="F5" s="79" t="s">
        <v>345</v>
      </c>
      <c r="G5" s="79" t="s">
        <v>55</v>
      </c>
      <c r="H5" s="79" t="s">
        <v>228</v>
      </c>
      <c r="I5" s="79" t="s">
        <v>173</v>
      </c>
      <c r="J5" s="81">
        <v>46041.63958333333</v>
      </c>
      <c r="K5" s="79" t="s">
        <v>129</v>
      </c>
      <c r="L5" s="79" t="s">
        <v>67</v>
      </c>
      <c r="M5" s="79" t="s">
        <v>229</v>
      </c>
      <c r="N5" s="79" t="s">
        <v>345</v>
      </c>
      <c r="O5" s="79" t="s">
        <v>230</v>
      </c>
      <c r="P5" s="79" t="s">
        <v>345</v>
      </c>
      <c r="Q5" s="79" t="s">
        <v>345</v>
      </c>
      <c r="R5" s="79" t="s">
        <v>231</v>
      </c>
      <c r="S5" s="79">
        <v>375300</v>
      </c>
      <c r="T5" s="79" t="s">
        <v>647</v>
      </c>
      <c r="U5" s="79" t="s">
        <v>345</v>
      </c>
      <c r="V5" s="79" t="s">
        <v>345</v>
      </c>
    </row>
    <row r="6" spans="1:22" ht="101.25">
      <c r="A6" s="78" t="s">
        <v>380</v>
      </c>
      <c r="B6" s="79" t="s">
        <v>89</v>
      </c>
      <c r="C6" s="80" t="s">
        <v>233</v>
      </c>
      <c r="D6" s="79" t="s">
        <v>147</v>
      </c>
      <c r="E6" s="79" t="s">
        <v>234</v>
      </c>
      <c r="F6" s="79" t="s">
        <v>345</v>
      </c>
      <c r="G6" s="79" t="s">
        <v>97</v>
      </c>
      <c r="H6" s="79" t="s">
        <v>228</v>
      </c>
      <c r="I6" s="79" t="s">
        <v>173</v>
      </c>
      <c r="J6" s="81">
        <v>46031.411805555559</v>
      </c>
      <c r="K6" s="79" t="s">
        <v>129</v>
      </c>
      <c r="L6" s="79" t="s">
        <v>67</v>
      </c>
      <c r="M6" s="79" t="s">
        <v>235</v>
      </c>
      <c r="N6" s="79" t="s">
        <v>345</v>
      </c>
      <c r="O6" s="79" t="s">
        <v>236</v>
      </c>
      <c r="P6" s="79" t="s">
        <v>345</v>
      </c>
      <c r="Q6" s="79" t="s">
        <v>345</v>
      </c>
      <c r="R6" s="79" t="s">
        <v>237</v>
      </c>
      <c r="S6" s="79">
        <v>162900</v>
      </c>
      <c r="T6" s="79" t="s">
        <v>238</v>
      </c>
      <c r="U6" s="79" t="s">
        <v>345</v>
      </c>
      <c r="V6" s="79" t="s">
        <v>345</v>
      </c>
    </row>
    <row r="7" spans="1:22" ht="101.25">
      <c r="A7" s="9" t="s">
        <v>345</v>
      </c>
      <c r="B7" s="11" t="s">
        <v>89</v>
      </c>
      <c r="C7" s="10" t="s">
        <v>253</v>
      </c>
      <c r="D7" s="11" t="s">
        <v>147</v>
      </c>
      <c r="E7" s="11" t="s">
        <v>254</v>
      </c>
      <c r="F7" s="11" t="s">
        <v>345</v>
      </c>
      <c r="G7" s="11" t="s">
        <v>79</v>
      </c>
      <c r="H7" s="11" t="s">
        <v>200</v>
      </c>
      <c r="I7" s="11" t="s">
        <v>173</v>
      </c>
      <c r="J7" s="11" t="s">
        <v>256</v>
      </c>
      <c r="K7" s="11" t="s">
        <v>81</v>
      </c>
      <c r="L7" s="11" t="s">
        <v>67</v>
      </c>
      <c r="M7" s="11" t="s">
        <v>345</v>
      </c>
      <c r="N7" s="11" t="s">
        <v>345</v>
      </c>
      <c r="O7" s="11" t="s">
        <v>255</v>
      </c>
      <c r="P7" s="11" t="s">
        <v>345</v>
      </c>
      <c r="Q7" s="11" t="s">
        <v>345</v>
      </c>
      <c r="R7" s="11" t="s">
        <v>257</v>
      </c>
      <c r="S7" s="11">
        <v>36000</v>
      </c>
      <c r="T7" s="11" t="s">
        <v>345</v>
      </c>
      <c r="U7" s="11" t="s">
        <v>345</v>
      </c>
      <c r="V7" s="11" t="s">
        <v>345</v>
      </c>
    </row>
    <row r="8" spans="1:22" s="46" customFormat="1" ht="101.25">
      <c r="A8" s="14" t="s">
        <v>13</v>
      </c>
      <c r="B8" s="16" t="s">
        <v>100</v>
      </c>
      <c r="C8" s="15" t="s">
        <v>259</v>
      </c>
      <c r="D8" s="16" t="s">
        <v>147</v>
      </c>
      <c r="E8" s="16" t="s">
        <v>260</v>
      </c>
      <c r="F8" s="16" t="s">
        <v>345</v>
      </c>
      <c r="G8" s="16" t="s">
        <v>79</v>
      </c>
      <c r="H8" s="16" t="s">
        <v>261</v>
      </c>
      <c r="I8" s="16" t="s">
        <v>173</v>
      </c>
      <c r="J8" s="16" t="s">
        <v>264</v>
      </c>
      <c r="K8" s="16" t="s">
        <v>114</v>
      </c>
      <c r="L8" s="16" t="s">
        <v>67</v>
      </c>
      <c r="M8" s="16" t="s">
        <v>262</v>
      </c>
      <c r="N8" s="16" t="s">
        <v>194</v>
      </c>
      <c r="O8" s="16" t="s">
        <v>263</v>
      </c>
      <c r="P8" s="16" t="s">
        <v>345</v>
      </c>
      <c r="Q8" s="16" t="s">
        <v>345</v>
      </c>
      <c r="R8" s="16" t="s">
        <v>648</v>
      </c>
      <c r="S8" s="16">
        <v>14400</v>
      </c>
      <c r="T8" s="16" t="s">
        <v>170</v>
      </c>
      <c r="U8" s="16" t="s">
        <v>345</v>
      </c>
      <c r="V8" s="16" t="s">
        <v>345</v>
      </c>
    </row>
    <row r="9" spans="1:22" ht="347.25">
      <c r="A9" s="9" t="s">
        <v>649</v>
      </c>
      <c r="B9" s="11" t="s">
        <v>71</v>
      </c>
      <c r="C9" s="10" t="s">
        <v>267</v>
      </c>
      <c r="D9" s="11" t="s">
        <v>147</v>
      </c>
      <c r="E9" s="11" t="s">
        <v>268</v>
      </c>
      <c r="F9" s="11" t="s">
        <v>345</v>
      </c>
      <c r="G9" s="11" t="s">
        <v>55</v>
      </c>
      <c r="H9" s="11" t="s">
        <v>261</v>
      </c>
      <c r="I9" s="11" t="s">
        <v>173</v>
      </c>
      <c r="J9" s="11" t="s">
        <v>269</v>
      </c>
      <c r="K9" s="11" t="s">
        <v>68</v>
      </c>
      <c r="L9" s="11" t="s">
        <v>67</v>
      </c>
      <c r="M9" s="11" t="s">
        <v>60</v>
      </c>
      <c r="N9" s="11" t="s">
        <v>345</v>
      </c>
      <c r="O9" s="11" t="s">
        <v>69</v>
      </c>
      <c r="P9" s="11" t="s">
        <v>345</v>
      </c>
      <c r="Q9" s="11" t="s">
        <v>345</v>
      </c>
      <c r="R9" s="11" t="s">
        <v>270</v>
      </c>
      <c r="S9" s="11">
        <v>10800</v>
      </c>
      <c r="T9" s="11" t="s">
        <v>271</v>
      </c>
      <c r="U9" s="11" t="s">
        <v>345</v>
      </c>
      <c r="V9" s="11" t="s">
        <v>345</v>
      </c>
    </row>
    <row r="10" spans="1:22" ht="187.5">
      <c r="A10" s="114" t="s">
        <v>650</v>
      </c>
      <c r="B10" s="115" t="s">
        <v>71</v>
      </c>
      <c r="C10" s="116" t="s">
        <v>273</v>
      </c>
      <c r="D10" s="115" t="s">
        <v>137</v>
      </c>
      <c r="E10" s="115" t="s">
        <v>274</v>
      </c>
      <c r="F10" s="115" t="s">
        <v>65</v>
      </c>
      <c r="G10" s="115" t="s">
        <v>626</v>
      </c>
      <c r="H10" s="115" t="s">
        <v>275</v>
      </c>
      <c r="I10" s="115" t="s">
        <v>173</v>
      </c>
      <c r="J10" s="115" t="s">
        <v>277</v>
      </c>
      <c r="K10" s="115" t="s">
        <v>129</v>
      </c>
      <c r="L10" s="115" t="s">
        <v>67</v>
      </c>
      <c r="M10" s="115" t="s">
        <v>235</v>
      </c>
      <c r="N10" s="115" t="s">
        <v>93</v>
      </c>
      <c r="O10" s="115" t="s">
        <v>276</v>
      </c>
      <c r="P10" s="115" t="s">
        <v>345</v>
      </c>
      <c r="Q10" s="115" t="s">
        <v>345</v>
      </c>
      <c r="R10" s="115" t="s">
        <v>278</v>
      </c>
      <c r="S10" s="115">
        <v>30600</v>
      </c>
      <c r="T10" s="115" t="s">
        <v>279</v>
      </c>
      <c r="U10" s="115" t="s">
        <v>345</v>
      </c>
      <c r="V10" s="115" t="s">
        <v>345</v>
      </c>
    </row>
    <row r="11" spans="1:22" ht="72">
      <c r="A11" s="9" t="s">
        <v>651</v>
      </c>
      <c r="B11" s="11" t="s">
        <v>71</v>
      </c>
      <c r="C11" s="10" t="s">
        <v>652</v>
      </c>
      <c r="D11" s="11" t="s">
        <v>147</v>
      </c>
      <c r="E11" s="11" t="s">
        <v>653</v>
      </c>
      <c r="F11" s="11" t="s">
        <v>345</v>
      </c>
      <c r="G11" s="11" t="s">
        <v>97</v>
      </c>
      <c r="H11" s="11" t="s">
        <v>339</v>
      </c>
      <c r="I11" s="11" t="s">
        <v>292</v>
      </c>
      <c r="J11" s="12">
        <v>45989.734722222223</v>
      </c>
      <c r="K11" s="11" t="s">
        <v>339</v>
      </c>
      <c r="L11" s="11" t="s">
        <v>67</v>
      </c>
      <c r="M11" s="11" t="s">
        <v>654</v>
      </c>
      <c r="N11" s="11" t="s">
        <v>345</v>
      </c>
      <c r="O11" s="11" t="s">
        <v>655</v>
      </c>
      <c r="P11" s="11" t="s">
        <v>345</v>
      </c>
      <c r="Q11" s="11" t="s">
        <v>345</v>
      </c>
      <c r="R11" s="11" t="s">
        <v>335</v>
      </c>
      <c r="S11" s="11">
        <v>16200</v>
      </c>
      <c r="T11" s="11"/>
      <c r="U11" s="11" t="s">
        <v>345</v>
      </c>
      <c r="V11" s="11" t="s">
        <v>345</v>
      </c>
    </row>
    <row r="12" spans="1:22" ht="216.75">
      <c r="A12" s="84" t="s">
        <v>656</v>
      </c>
      <c r="B12" s="82" t="s">
        <v>89</v>
      </c>
      <c r="C12" s="83" t="s">
        <v>657</v>
      </c>
      <c r="D12" s="82" t="s">
        <v>147</v>
      </c>
      <c r="E12" s="82" t="s">
        <v>658</v>
      </c>
      <c r="F12" s="82" t="s">
        <v>345</v>
      </c>
      <c r="G12" s="82" t="s">
        <v>79</v>
      </c>
      <c r="H12" s="82" t="s">
        <v>261</v>
      </c>
      <c r="I12" s="82" t="s">
        <v>292</v>
      </c>
      <c r="J12" s="117">
        <v>45987.648611111108</v>
      </c>
      <c r="K12" s="82" t="s">
        <v>58</v>
      </c>
      <c r="L12" s="82" t="s">
        <v>67</v>
      </c>
      <c r="M12" s="82" t="s">
        <v>262</v>
      </c>
      <c r="N12" s="82" t="s">
        <v>194</v>
      </c>
      <c r="O12" s="82" t="s">
        <v>69</v>
      </c>
      <c r="P12" s="82" t="s">
        <v>345</v>
      </c>
      <c r="Q12" s="82" t="s">
        <v>345</v>
      </c>
      <c r="R12" s="82" t="s">
        <v>659</v>
      </c>
      <c r="S12" s="82">
        <v>7200</v>
      </c>
      <c r="T12" s="82" t="s">
        <v>345</v>
      </c>
      <c r="U12" s="82" t="s">
        <v>345</v>
      </c>
      <c r="V12" s="82" t="s">
        <v>345</v>
      </c>
    </row>
    <row r="13" spans="1:22" ht="201.75">
      <c r="A13" s="9" t="s">
        <v>660</v>
      </c>
      <c r="B13" s="11" t="s">
        <v>50</v>
      </c>
      <c r="C13" s="10" t="s">
        <v>661</v>
      </c>
      <c r="D13" s="11" t="s">
        <v>137</v>
      </c>
      <c r="E13" s="11" t="s">
        <v>662</v>
      </c>
      <c r="F13" s="11" t="s">
        <v>65</v>
      </c>
      <c r="G13" s="11" t="s">
        <v>79</v>
      </c>
      <c r="H13" s="11" t="s">
        <v>261</v>
      </c>
      <c r="I13" s="11" t="s">
        <v>297</v>
      </c>
      <c r="J13" s="12">
        <v>45987.602777777778</v>
      </c>
      <c r="K13" s="11" t="s">
        <v>114</v>
      </c>
      <c r="L13" s="11" t="s">
        <v>67</v>
      </c>
      <c r="M13" s="11" t="s">
        <v>208</v>
      </c>
      <c r="N13" s="11" t="s">
        <v>194</v>
      </c>
      <c r="O13" s="11" t="s">
        <v>69</v>
      </c>
      <c r="P13" s="11" t="s">
        <v>345</v>
      </c>
      <c r="Q13" s="11" t="s">
        <v>345</v>
      </c>
      <c r="R13" s="11" t="s">
        <v>663</v>
      </c>
      <c r="S13" s="11" t="s">
        <v>345</v>
      </c>
      <c r="T13" s="11" t="s">
        <v>664</v>
      </c>
      <c r="U13" s="11" t="s">
        <v>345</v>
      </c>
      <c r="V13" s="11" t="s">
        <v>345</v>
      </c>
    </row>
    <row r="14" spans="1:22" ht="86.25">
      <c r="A14" s="9" t="s">
        <v>345</v>
      </c>
      <c r="B14" s="11" t="s">
        <v>89</v>
      </c>
      <c r="C14" s="10" t="s">
        <v>286</v>
      </c>
      <c r="D14" s="11" t="s">
        <v>147</v>
      </c>
      <c r="E14" s="11" t="s">
        <v>287</v>
      </c>
      <c r="F14" s="11" t="s">
        <v>345</v>
      </c>
      <c r="G14" s="11" t="s">
        <v>79</v>
      </c>
      <c r="H14" s="11" t="s">
        <v>288</v>
      </c>
      <c r="I14" s="11" t="s">
        <v>17</v>
      </c>
      <c r="J14" s="12">
        <v>45985.44027777778</v>
      </c>
      <c r="K14" s="11" t="s">
        <v>81</v>
      </c>
      <c r="L14" s="11" t="s">
        <v>67</v>
      </c>
      <c r="M14" s="11" t="s">
        <v>345</v>
      </c>
      <c r="N14" s="11" t="s">
        <v>56</v>
      </c>
      <c r="O14" s="11" t="s">
        <v>82</v>
      </c>
      <c r="P14" s="11" t="s">
        <v>345</v>
      </c>
      <c r="Q14" s="11" t="s">
        <v>345</v>
      </c>
      <c r="R14" s="11" t="s">
        <v>345</v>
      </c>
      <c r="S14" s="11">
        <v>10800</v>
      </c>
      <c r="T14" s="11" t="s">
        <v>289</v>
      </c>
      <c r="U14" s="11" t="s">
        <v>345</v>
      </c>
      <c r="V14" s="11" t="s">
        <v>345</v>
      </c>
    </row>
    <row r="15" spans="1:22" ht="347.25">
      <c r="A15" s="9" t="s">
        <v>116</v>
      </c>
      <c r="B15" s="11" t="s">
        <v>71</v>
      </c>
      <c r="C15" s="10" t="s">
        <v>290</v>
      </c>
      <c r="D15" s="11" t="s">
        <v>137</v>
      </c>
      <c r="E15" s="11" t="s">
        <v>291</v>
      </c>
      <c r="F15" s="11" t="s">
        <v>65</v>
      </c>
      <c r="G15" s="11" t="s">
        <v>55</v>
      </c>
      <c r="H15" s="11" t="s">
        <v>261</v>
      </c>
      <c r="I15" s="11" t="s">
        <v>292</v>
      </c>
      <c r="J15" s="12">
        <v>45980.481944444444</v>
      </c>
      <c r="K15" s="11" t="s">
        <v>129</v>
      </c>
      <c r="L15" s="11" t="s">
        <v>67</v>
      </c>
      <c r="M15" s="11" t="s">
        <v>235</v>
      </c>
      <c r="N15" s="11" t="s">
        <v>345</v>
      </c>
      <c r="O15" s="11" t="s">
        <v>69</v>
      </c>
      <c r="P15" s="11" t="s">
        <v>345</v>
      </c>
      <c r="Q15" s="11" t="s">
        <v>345</v>
      </c>
      <c r="R15" s="11" t="s">
        <v>293</v>
      </c>
      <c r="S15" s="11">
        <v>28800</v>
      </c>
      <c r="T15" s="11" t="s">
        <v>294</v>
      </c>
      <c r="U15" s="11" t="s">
        <v>345</v>
      </c>
      <c r="V15" s="11" t="s">
        <v>345</v>
      </c>
    </row>
    <row r="16" spans="1:22" ht="159">
      <c r="A16" s="78" t="s">
        <v>165</v>
      </c>
      <c r="B16" s="79" t="s">
        <v>135</v>
      </c>
      <c r="C16" s="80" t="s">
        <v>309</v>
      </c>
      <c r="D16" s="79" t="s">
        <v>137</v>
      </c>
      <c r="E16" s="79" t="s">
        <v>310</v>
      </c>
      <c r="F16" s="79" t="s">
        <v>65</v>
      </c>
      <c r="G16" s="79" t="s">
        <v>79</v>
      </c>
      <c r="H16" s="79" t="s">
        <v>200</v>
      </c>
      <c r="I16" s="79" t="s">
        <v>345</v>
      </c>
      <c r="J16" s="81">
        <v>45944.620833333334</v>
      </c>
      <c r="K16" s="79" t="s">
        <v>66</v>
      </c>
      <c r="L16" s="79" t="s">
        <v>67</v>
      </c>
      <c r="M16" s="79" t="s">
        <v>208</v>
      </c>
      <c r="N16" s="79" t="s">
        <v>149</v>
      </c>
      <c r="O16" s="79" t="s">
        <v>311</v>
      </c>
      <c r="P16" s="79" t="s">
        <v>345</v>
      </c>
      <c r="Q16" s="79" t="s">
        <v>345</v>
      </c>
      <c r="R16" s="79" t="s">
        <v>312</v>
      </c>
      <c r="S16" s="79">
        <v>54900</v>
      </c>
      <c r="T16" s="79" t="s">
        <v>345</v>
      </c>
      <c r="U16" s="79" t="s">
        <v>345</v>
      </c>
      <c r="V16" s="79" t="s">
        <v>345</v>
      </c>
    </row>
    <row r="17" spans="1:22" ht="318">
      <c r="A17" s="78" t="s">
        <v>239</v>
      </c>
      <c r="B17" s="79" t="s">
        <v>89</v>
      </c>
      <c r="C17" s="80" t="s">
        <v>313</v>
      </c>
      <c r="D17" s="79" t="s">
        <v>147</v>
      </c>
      <c r="E17" s="79" t="s">
        <v>314</v>
      </c>
      <c r="F17" s="79" t="s">
        <v>345</v>
      </c>
      <c r="G17" s="79" t="s">
        <v>79</v>
      </c>
      <c r="H17" s="79" t="s">
        <v>58</v>
      </c>
      <c r="I17" s="79" t="s">
        <v>173</v>
      </c>
      <c r="J17" s="81">
        <v>45939.331250000003</v>
      </c>
      <c r="K17" s="79" t="s">
        <v>58</v>
      </c>
      <c r="L17" s="79" t="s">
        <v>67</v>
      </c>
      <c r="M17" s="79" t="s">
        <v>345</v>
      </c>
      <c r="N17" s="79" t="s">
        <v>345</v>
      </c>
      <c r="O17" s="79" t="s">
        <v>69</v>
      </c>
      <c r="P17" s="79" t="s">
        <v>345</v>
      </c>
      <c r="Q17" s="79" t="s">
        <v>345</v>
      </c>
      <c r="R17" s="79" t="s">
        <v>315</v>
      </c>
      <c r="S17" s="79">
        <v>90900</v>
      </c>
      <c r="T17" s="79" t="s">
        <v>316</v>
      </c>
      <c r="U17" s="79" t="s">
        <v>345</v>
      </c>
      <c r="V17" s="79" t="s">
        <v>345</v>
      </c>
    </row>
    <row r="18" spans="1:22" ht="162" customHeight="1">
      <c r="A18" s="78" t="s">
        <v>665</v>
      </c>
      <c r="B18" s="79" t="s">
        <v>100</v>
      </c>
      <c r="C18" s="80" t="s">
        <v>317</v>
      </c>
      <c r="D18" s="79" t="s">
        <v>137</v>
      </c>
      <c r="E18" s="79" t="s">
        <v>318</v>
      </c>
      <c r="F18" s="79" t="s">
        <v>65</v>
      </c>
      <c r="G18" s="79" t="s">
        <v>79</v>
      </c>
      <c r="H18" s="79" t="s">
        <v>275</v>
      </c>
      <c r="I18" s="79" t="s">
        <v>292</v>
      </c>
      <c r="J18" s="81">
        <v>45933.707638888889</v>
      </c>
      <c r="K18" s="79" t="s">
        <v>319</v>
      </c>
      <c r="L18" s="79" t="s">
        <v>67</v>
      </c>
      <c r="M18" s="79" t="s">
        <v>320</v>
      </c>
      <c r="N18" s="79" t="s">
        <v>119</v>
      </c>
      <c r="O18" s="79" t="s">
        <v>263</v>
      </c>
      <c r="P18" s="79" t="s">
        <v>345</v>
      </c>
      <c r="Q18" s="79" t="s">
        <v>345</v>
      </c>
      <c r="R18" s="79" t="s">
        <v>321</v>
      </c>
      <c r="S18" s="79">
        <v>95400</v>
      </c>
      <c r="T18" s="79" t="s">
        <v>322</v>
      </c>
      <c r="U18" s="79" t="s">
        <v>345</v>
      </c>
      <c r="V18" s="79" t="s">
        <v>345</v>
      </c>
    </row>
    <row r="19" spans="1:22" s="146" customFormat="1" ht="347.25">
      <c r="A19" s="142" t="s">
        <v>666</v>
      </c>
      <c r="B19" s="143" t="s">
        <v>135</v>
      </c>
      <c r="C19" s="144" t="s">
        <v>176</v>
      </c>
      <c r="D19" s="143" t="s">
        <v>137</v>
      </c>
      <c r="E19" s="143" t="s">
        <v>325</v>
      </c>
      <c r="F19" s="143" t="s">
        <v>65</v>
      </c>
      <c r="G19" s="143" t="s">
        <v>79</v>
      </c>
      <c r="H19" s="143" t="s">
        <v>200</v>
      </c>
      <c r="I19" s="143" t="s">
        <v>292</v>
      </c>
      <c r="J19" s="145">
        <v>45930.381944444445</v>
      </c>
      <c r="K19" s="143" t="s">
        <v>132</v>
      </c>
      <c r="L19" s="143" t="s">
        <v>67</v>
      </c>
      <c r="M19" s="143" t="s">
        <v>174</v>
      </c>
      <c r="N19" s="143" t="s">
        <v>194</v>
      </c>
      <c r="O19" s="143" t="s">
        <v>263</v>
      </c>
      <c r="P19" s="143" t="s">
        <v>345</v>
      </c>
      <c r="Q19" s="143" t="s">
        <v>345</v>
      </c>
      <c r="R19" s="143" t="s">
        <v>388</v>
      </c>
      <c r="S19" s="143">
        <v>58500</v>
      </c>
      <c r="T19" s="143" t="s">
        <v>327</v>
      </c>
      <c r="U19" s="143" t="s">
        <v>345</v>
      </c>
      <c r="V19" s="143" t="s">
        <v>345</v>
      </c>
    </row>
    <row r="20" spans="1:22" s="139" customFormat="1" ht="173.25">
      <c r="A20" s="136" t="s">
        <v>667</v>
      </c>
      <c r="B20" s="137" t="s">
        <v>71</v>
      </c>
      <c r="C20" s="138" t="s">
        <v>335</v>
      </c>
      <c r="D20" s="137" t="s">
        <v>137</v>
      </c>
      <c r="E20" s="137" t="s">
        <v>336</v>
      </c>
      <c r="F20" s="137" t="s">
        <v>65</v>
      </c>
      <c r="G20" s="137" t="s">
        <v>97</v>
      </c>
      <c r="H20" s="137" t="s">
        <v>337</v>
      </c>
      <c r="I20" s="137" t="s">
        <v>338</v>
      </c>
      <c r="J20" s="137" t="s">
        <v>341</v>
      </c>
      <c r="K20" s="137" t="s">
        <v>339</v>
      </c>
      <c r="L20" s="137" t="s">
        <v>67</v>
      </c>
      <c r="M20" s="137" t="s">
        <v>235</v>
      </c>
      <c r="N20" s="137" t="s">
        <v>345</v>
      </c>
      <c r="O20" s="137" t="s">
        <v>340</v>
      </c>
      <c r="P20" s="137" t="s">
        <v>390</v>
      </c>
      <c r="Q20" s="137" t="s">
        <v>345</v>
      </c>
      <c r="R20" s="137" t="s">
        <v>668</v>
      </c>
      <c r="S20" s="137">
        <v>158400</v>
      </c>
      <c r="T20" s="137" t="s">
        <v>343</v>
      </c>
      <c r="U20" s="137" t="s">
        <v>345</v>
      </c>
      <c r="V20" s="137" t="s">
        <v>345</v>
      </c>
    </row>
    <row r="21" spans="1:22">
      <c r="A21" s="2"/>
      <c r="B21" s="206" t="s">
        <v>669</v>
      </c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8"/>
    </row>
  </sheetData>
  <mergeCells count="1">
    <mergeCell ref="B21:V21"/>
  </mergeCells>
  <hyperlinks>
    <hyperlink ref="C2" r:id="rId1" xr:uid="{86A3E0D5-66C5-4B7F-9C44-860FEB3C86E0}"/>
    <hyperlink ref="C3" r:id="rId2" xr:uid="{9F6C31E0-CC30-4B7E-B9C5-16AF804968CB}"/>
    <hyperlink ref="C4" r:id="rId3" xr:uid="{6B74E5CD-89F4-4F5A-BAD9-FF11930A4BA4}"/>
    <hyperlink ref="C5" r:id="rId4" xr:uid="{3BC231C9-188B-483D-AD92-B7BA301B91DE}"/>
    <hyperlink ref="C6" r:id="rId5" xr:uid="{AA18EB4F-1F85-457E-BB90-EA8F07E863BD}"/>
    <hyperlink ref="C7" r:id="rId6" xr:uid="{17ED3C07-D144-4B73-9DF8-AD6E0A713437}"/>
    <hyperlink ref="C8" r:id="rId7" xr:uid="{4609058C-4F6B-4A32-B4BE-17519EF1E880}"/>
    <hyperlink ref="C9" r:id="rId8" xr:uid="{FFEA1603-333B-49D5-A289-FBD3BA3C2715}"/>
    <hyperlink ref="C10" r:id="rId9" xr:uid="{A67641B9-5047-4168-BE4C-DCB745D689EB}"/>
    <hyperlink ref="C11" r:id="rId10" xr:uid="{0A88BD0B-D48E-4E5D-B6A8-19CD007A23EC}"/>
    <hyperlink ref="C12" r:id="rId11" xr:uid="{EADDD75A-7CA5-4C8C-960E-3A1C8EDEB4FF}"/>
    <hyperlink ref="C13" r:id="rId12" xr:uid="{219370DC-E40D-4D49-BDFD-E096B3F07E36}"/>
    <hyperlink ref="C14" r:id="rId13" xr:uid="{39AC2C72-D7A1-40F8-BD5E-540311DF9E61}"/>
    <hyperlink ref="C15" r:id="rId14" xr:uid="{3B0F350C-2D9A-4C11-ABBB-626585DFA4DA}"/>
    <hyperlink ref="C16" r:id="rId15" xr:uid="{432574BE-08AC-4B06-B02B-491F39CDDD90}"/>
    <hyperlink ref="C17" r:id="rId16" xr:uid="{8824767B-7CEC-484E-849B-06E6E7FF8686}"/>
    <hyperlink ref="C18" r:id="rId17" xr:uid="{C9C57D03-7C47-427D-BA8E-8493DDFB86E6}"/>
    <hyperlink ref="C19" r:id="rId18" xr:uid="{510B2B66-B671-42A2-AACA-47F2AAD9B685}"/>
    <hyperlink ref="C20" r:id="rId19" xr:uid="{3B7D71BF-202E-4400-99E6-3EB56D72957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4CEB-CCE9-4863-BB57-679914357CCD}">
  <sheetPr>
    <tabColor theme="6" tint="0.39997558519241921"/>
  </sheetPr>
  <dimension ref="B1:AN129"/>
  <sheetViews>
    <sheetView topLeftCell="A29" workbookViewId="0">
      <selection activeCell="K64" sqref="K64"/>
    </sheetView>
  </sheetViews>
  <sheetFormatPr defaultColWidth="11.42578125" defaultRowHeight="14.45"/>
  <cols>
    <col min="1" max="1" width="4.85546875" customWidth="1"/>
    <col min="2" max="2" width="22" customWidth="1"/>
    <col min="3" max="3" width="28.42578125" customWidth="1"/>
    <col min="4" max="4" width="9" customWidth="1"/>
    <col min="5" max="5" width="21.28515625" customWidth="1"/>
    <col min="7" max="7" width="87.42578125" customWidth="1"/>
    <col min="8" max="8" width="19" customWidth="1"/>
    <col min="9" max="9" width="18.140625" customWidth="1"/>
    <col min="10" max="10" width="21.5703125" customWidth="1"/>
    <col min="11" max="11" width="14.85546875" customWidth="1"/>
    <col min="12" max="12" width="21.5703125" style="93" customWidth="1"/>
    <col min="13" max="13" width="40.5703125" customWidth="1"/>
    <col min="14" max="14" width="20.7109375" customWidth="1"/>
    <col min="15" max="15" width="17.140625" customWidth="1"/>
    <col min="17" max="17" width="18.5703125" customWidth="1"/>
    <col min="18" max="18" width="69.7109375" customWidth="1"/>
    <col min="19" max="19" width="19.28515625" customWidth="1"/>
    <col min="20" max="20" width="12.28515625" customWidth="1"/>
    <col min="22" max="22" width="33.42578125" customWidth="1"/>
    <col min="23" max="23" width="25.85546875" customWidth="1"/>
    <col min="24" max="24" width="25.42578125" customWidth="1"/>
    <col min="29" max="29" width="40.7109375" customWidth="1"/>
    <col min="30" max="30" width="23.140625" customWidth="1"/>
    <col min="31" max="31" width="12.5703125" customWidth="1"/>
    <col min="33" max="33" width="14.140625" customWidth="1"/>
    <col min="34" max="34" width="15.85546875" customWidth="1"/>
    <col min="38" max="38" width="34.28515625" customWidth="1"/>
    <col min="39" max="39" width="28.42578125" customWidth="1"/>
    <col min="40" max="40" width="28.85546875" customWidth="1"/>
    <col min="41" max="41" width="39" customWidth="1"/>
  </cols>
  <sheetData>
    <row r="1" spans="2:40">
      <c r="K1" s="93"/>
      <c r="L1"/>
    </row>
    <row r="2" spans="2:40">
      <c r="K2" s="93"/>
      <c r="L2"/>
    </row>
    <row r="3" spans="2:40">
      <c r="K3" s="93"/>
      <c r="L3"/>
      <c r="T3" t="s">
        <v>670</v>
      </c>
      <c r="U3" t="s">
        <v>600</v>
      </c>
      <c r="V3" t="s">
        <v>600</v>
      </c>
      <c r="W3" t="s">
        <v>600</v>
      </c>
      <c r="Z3" t="s">
        <v>671</v>
      </c>
      <c r="AA3" t="s">
        <v>671</v>
      </c>
    </row>
    <row r="4" spans="2:40">
      <c r="C4" s="94" t="s">
        <v>672</v>
      </c>
      <c r="D4" s="94" t="s">
        <v>673</v>
      </c>
      <c r="E4" s="94" t="s">
        <v>674</v>
      </c>
      <c r="F4" t="s">
        <v>675</v>
      </c>
      <c r="G4" t="s">
        <v>676</v>
      </c>
      <c r="H4" t="s">
        <v>677</v>
      </c>
      <c r="I4" t="s">
        <v>491</v>
      </c>
      <c r="J4" t="s">
        <v>678</v>
      </c>
      <c r="K4" s="93" t="s">
        <v>679</v>
      </c>
      <c r="L4" t="s">
        <v>680</v>
      </c>
      <c r="M4" t="s">
        <v>681</v>
      </c>
      <c r="N4" t="s">
        <v>682</v>
      </c>
      <c r="O4" t="s">
        <v>683</v>
      </c>
      <c r="P4" t="s">
        <v>684</v>
      </c>
      <c r="Q4" t="s">
        <v>685</v>
      </c>
      <c r="R4" t="s">
        <v>686</v>
      </c>
      <c r="S4" t="s">
        <v>687</v>
      </c>
      <c r="T4" t="s">
        <v>688</v>
      </c>
      <c r="U4" t="s">
        <v>689</v>
      </c>
      <c r="V4" t="s">
        <v>690</v>
      </c>
      <c r="W4" t="s">
        <v>691</v>
      </c>
      <c r="X4" t="s">
        <v>692</v>
      </c>
      <c r="Y4" t="s">
        <v>693</v>
      </c>
      <c r="Z4" t="s">
        <v>694</v>
      </c>
      <c r="AA4" t="s">
        <v>695</v>
      </c>
      <c r="AB4" t="s">
        <v>696</v>
      </c>
      <c r="AC4" t="s">
        <v>697</v>
      </c>
      <c r="AD4" t="s">
        <v>698</v>
      </c>
      <c r="AE4" t="s">
        <v>699</v>
      </c>
      <c r="AF4" t="s">
        <v>700</v>
      </c>
      <c r="AG4" t="s">
        <v>701</v>
      </c>
      <c r="AH4" t="s">
        <v>702</v>
      </c>
      <c r="AI4" t="s">
        <v>703</v>
      </c>
      <c r="AJ4" t="s">
        <v>704</v>
      </c>
      <c r="AK4" t="s">
        <v>705</v>
      </c>
      <c r="AL4" t="s">
        <v>706</v>
      </c>
      <c r="AM4" t="s">
        <v>707</v>
      </c>
      <c r="AN4" t="s">
        <v>708</v>
      </c>
    </row>
    <row r="5" spans="2:40">
      <c r="G5" t="s">
        <v>709</v>
      </c>
      <c r="I5" t="s">
        <v>710</v>
      </c>
      <c r="K5" s="93">
        <v>45657</v>
      </c>
      <c r="L5" t="s">
        <v>711</v>
      </c>
      <c r="N5" t="s">
        <v>712</v>
      </c>
      <c r="P5" t="s">
        <v>713</v>
      </c>
      <c r="R5" t="s">
        <v>714</v>
      </c>
      <c r="S5" t="s">
        <v>715</v>
      </c>
      <c r="X5" t="s">
        <v>715</v>
      </c>
      <c r="Y5" t="s">
        <v>715</v>
      </c>
      <c r="Z5" t="s">
        <v>716</v>
      </c>
      <c r="AA5" t="s">
        <v>716</v>
      </c>
      <c r="AB5" t="s">
        <v>715</v>
      </c>
      <c r="AC5" t="s">
        <v>715</v>
      </c>
      <c r="AE5" t="s">
        <v>716</v>
      </c>
      <c r="AF5" t="s">
        <v>715</v>
      </c>
      <c r="AG5" t="s">
        <v>715</v>
      </c>
      <c r="AH5" t="s">
        <v>715</v>
      </c>
      <c r="AI5" t="s">
        <v>716</v>
      </c>
      <c r="AJ5" t="s">
        <v>715</v>
      </c>
      <c r="AK5" t="s">
        <v>715</v>
      </c>
      <c r="AM5" t="s">
        <v>715</v>
      </c>
      <c r="AN5" t="s">
        <v>715</v>
      </c>
    </row>
    <row r="6" spans="2:40" hidden="1">
      <c r="E6" t="s">
        <v>717</v>
      </c>
      <c r="G6" t="s">
        <v>718</v>
      </c>
      <c r="K6" s="93"/>
      <c r="L6"/>
    </row>
    <row r="7" spans="2:40" hidden="1">
      <c r="E7" t="s">
        <v>719</v>
      </c>
      <c r="G7" t="s">
        <v>720</v>
      </c>
      <c r="H7" t="s">
        <v>721</v>
      </c>
      <c r="K7" s="93"/>
      <c r="L7"/>
    </row>
    <row r="8" spans="2:40" hidden="1">
      <c r="E8" t="s">
        <v>722</v>
      </c>
      <c r="G8" t="s">
        <v>723</v>
      </c>
      <c r="K8" s="93"/>
      <c r="L8"/>
    </row>
    <row r="9" spans="2:40" hidden="1">
      <c r="E9" t="s">
        <v>719</v>
      </c>
      <c r="G9" t="s">
        <v>724</v>
      </c>
      <c r="H9" t="s">
        <v>721</v>
      </c>
      <c r="K9" s="93"/>
      <c r="L9"/>
    </row>
    <row r="10" spans="2:40">
      <c r="B10" t="s">
        <v>725</v>
      </c>
      <c r="E10" t="s">
        <v>726</v>
      </c>
      <c r="F10" t="s">
        <v>727</v>
      </c>
      <c r="G10" t="s">
        <v>728</v>
      </c>
      <c r="I10" t="s">
        <v>729</v>
      </c>
      <c r="J10" t="s">
        <v>730</v>
      </c>
      <c r="K10" s="93">
        <v>45838</v>
      </c>
      <c r="L10" t="s">
        <v>731</v>
      </c>
      <c r="M10" t="s">
        <v>732</v>
      </c>
      <c r="N10" t="s">
        <v>733</v>
      </c>
      <c r="R10" t="s">
        <v>734</v>
      </c>
      <c r="AA10" t="s">
        <v>716</v>
      </c>
      <c r="AB10" t="s">
        <v>715</v>
      </c>
      <c r="AD10" t="s">
        <v>526</v>
      </c>
      <c r="AE10" t="s">
        <v>735</v>
      </c>
    </row>
    <row r="11" spans="2:40">
      <c r="B11" t="s">
        <v>725</v>
      </c>
      <c r="E11" t="s">
        <v>726</v>
      </c>
      <c r="F11" t="s">
        <v>727</v>
      </c>
      <c r="G11" t="s">
        <v>728</v>
      </c>
      <c r="I11" t="s">
        <v>729</v>
      </c>
      <c r="J11" t="s">
        <v>730</v>
      </c>
      <c r="K11" s="93">
        <v>45657</v>
      </c>
      <c r="L11" t="s">
        <v>731</v>
      </c>
      <c r="M11" t="s">
        <v>732</v>
      </c>
      <c r="N11" t="s">
        <v>712</v>
      </c>
      <c r="R11" t="s">
        <v>736</v>
      </c>
      <c r="AA11" t="s">
        <v>715</v>
      </c>
      <c r="AB11" t="s">
        <v>716</v>
      </c>
      <c r="AD11" t="s">
        <v>526</v>
      </c>
      <c r="AE11" t="s">
        <v>735</v>
      </c>
    </row>
    <row r="12" spans="2:40">
      <c r="B12" t="s">
        <v>725</v>
      </c>
      <c r="F12" t="s">
        <v>727</v>
      </c>
      <c r="G12" t="s">
        <v>737</v>
      </c>
      <c r="I12" t="s">
        <v>738</v>
      </c>
      <c r="J12" t="s">
        <v>739</v>
      </c>
      <c r="K12" s="93">
        <v>45473</v>
      </c>
      <c r="L12" t="s">
        <v>731</v>
      </c>
      <c r="M12" t="s">
        <v>732</v>
      </c>
      <c r="N12" t="s">
        <v>733</v>
      </c>
      <c r="R12" t="s">
        <v>734</v>
      </c>
      <c r="AA12" t="s">
        <v>716</v>
      </c>
      <c r="AB12" t="s">
        <v>715</v>
      </c>
      <c r="AD12" t="s">
        <v>526</v>
      </c>
      <c r="AE12" t="s">
        <v>735</v>
      </c>
    </row>
    <row r="13" spans="2:40" hidden="1">
      <c r="B13" t="s">
        <v>725</v>
      </c>
      <c r="E13" t="s">
        <v>722</v>
      </c>
      <c r="F13" t="s">
        <v>727</v>
      </c>
      <c r="G13" t="s">
        <v>728</v>
      </c>
      <c r="I13" t="s">
        <v>738</v>
      </c>
      <c r="J13" t="s">
        <v>739</v>
      </c>
      <c r="K13" s="93">
        <v>45657</v>
      </c>
      <c r="L13" t="s">
        <v>731</v>
      </c>
      <c r="M13" t="s">
        <v>732</v>
      </c>
      <c r="N13" t="s">
        <v>712</v>
      </c>
      <c r="R13" t="s">
        <v>736</v>
      </c>
      <c r="AA13" t="s">
        <v>715</v>
      </c>
      <c r="AB13" t="s">
        <v>716</v>
      </c>
      <c r="AD13" t="s">
        <v>526</v>
      </c>
      <c r="AE13" t="s">
        <v>735</v>
      </c>
    </row>
    <row r="14" spans="2:40">
      <c r="B14" t="s">
        <v>725</v>
      </c>
      <c r="F14" t="s">
        <v>727</v>
      </c>
      <c r="I14" t="s">
        <v>740</v>
      </c>
      <c r="J14" t="s">
        <v>741</v>
      </c>
      <c r="K14" s="93">
        <v>46022</v>
      </c>
      <c r="L14" t="s">
        <v>742</v>
      </c>
      <c r="M14" t="s">
        <v>732</v>
      </c>
      <c r="N14" t="s">
        <v>712</v>
      </c>
      <c r="R14" t="s">
        <v>736</v>
      </c>
      <c r="AA14" t="s">
        <v>716</v>
      </c>
      <c r="AB14" t="s">
        <v>715</v>
      </c>
      <c r="AD14" t="s">
        <v>526</v>
      </c>
      <c r="AE14" t="s">
        <v>743</v>
      </c>
      <c r="AI14" t="s">
        <v>716</v>
      </c>
    </row>
    <row r="15" spans="2:40">
      <c r="B15" t="s">
        <v>725</v>
      </c>
      <c r="F15" t="s">
        <v>727</v>
      </c>
      <c r="I15" t="s">
        <v>740</v>
      </c>
      <c r="J15" t="s">
        <v>741</v>
      </c>
      <c r="K15" s="93">
        <v>45838</v>
      </c>
      <c r="L15" t="s">
        <v>742</v>
      </c>
      <c r="M15" t="s">
        <v>732</v>
      </c>
      <c r="N15" t="s">
        <v>733</v>
      </c>
      <c r="R15" t="s">
        <v>734</v>
      </c>
      <c r="AA15" t="s">
        <v>716</v>
      </c>
      <c r="AB15" t="s">
        <v>715</v>
      </c>
      <c r="AD15" t="s">
        <v>526</v>
      </c>
      <c r="AE15" t="s">
        <v>743</v>
      </c>
      <c r="AI15" t="s">
        <v>716</v>
      </c>
    </row>
    <row r="16" spans="2:40" hidden="1">
      <c r="B16" t="s">
        <v>744</v>
      </c>
      <c r="E16" t="s">
        <v>722</v>
      </c>
      <c r="F16" t="s">
        <v>727</v>
      </c>
      <c r="I16">
        <v>999140</v>
      </c>
      <c r="J16" t="s">
        <v>741</v>
      </c>
      <c r="K16" s="93">
        <v>45930</v>
      </c>
      <c r="L16" t="s">
        <v>745</v>
      </c>
      <c r="M16" t="s">
        <v>746</v>
      </c>
      <c r="N16" t="s">
        <v>712</v>
      </c>
      <c r="R16" t="s">
        <v>736</v>
      </c>
      <c r="AD16" t="s">
        <v>526</v>
      </c>
      <c r="AE16" t="s">
        <v>735</v>
      </c>
      <c r="AI16" t="s">
        <v>716</v>
      </c>
    </row>
    <row r="17" spans="2:40" hidden="1">
      <c r="B17" t="s">
        <v>744</v>
      </c>
      <c r="E17" t="s">
        <v>747</v>
      </c>
      <c r="F17" t="s">
        <v>727</v>
      </c>
      <c r="I17">
        <v>246841</v>
      </c>
      <c r="J17" t="s">
        <v>741</v>
      </c>
      <c r="K17" s="93">
        <v>45930</v>
      </c>
      <c r="L17" t="s">
        <v>748</v>
      </c>
      <c r="M17" t="s">
        <v>746</v>
      </c>
      <c r="N17" t="s">
        <v>712</v>
      </c>
      <c r="R17" t="s">
        <v>736</v>
      </c>
      <c r="AD17" t="s">
        <v>526</v>
      </c>
      <c r="AE17" t="s">
        <v>735</v>
      </c>
      <c r="AI17" t="s">
        <v>716</v>
      </c>
    </row>
    <row r="18" spans="2:40">
      <c r="B18" t="s">
        <v>744</v>
      </c>
      <c r="F18" t="s">
        <v>727</v>
      </c>
      <c r="I18">
        <v>284116</v>
      </c>
      <c r="J18" t="s">
        <v>741</v>
      </c>
      <c r="K18" s="93">
        <v>45961</v>
      </c>
      <c r="L18" t="s">
        <v>749</v>
      </c>
      <c r="M18" t="s">
        <v>732</v>
      </c>
      <c r="N18" t="s">
        <v>712</v>
      </c>
      <c r="R18" t="s">
        <v>736</v>
      </c>
      <c r="AD18" t="s">
        <v>526</v>
      </c>
      <c r="AE18" t="s">
        <v>750</v>
      </c>
      <c r="AI18" t="s">
        <v>716</v>
      </c>
    </row>
    <row r="19" spans="2:40" hidden="1">
      <c r="B19" t="s">
        <v>744</v>
      </c>
      <c r="E19" t="s">
        <v>722</v>
      </c>
      <c r="F19" t="s">
        <v>727</v>
      </c>
      <c r="I19">
        <v>517192</v>
      </c>
      <c r="J19" t="s">
        <v>741</v>
      </c>
      <c r="K19" s="93">
        <v>45657</v>
      </c>
      <c r="L19" t="s">
        <v>751</v>
      </c>
      <c r="M19" t="s">
        <v>752</v>
      </c>
      <c r="N19" t="s">
        <v>733</v>
      </c>
      <c r="R19" t="s">
        <v>734</v>
      </c>
      <c r="AD19" t="s">
        <v>526</v>
      </c>
      <c r="AE19" t="s">
        <v>735</v>
      </c>
      <c r="AI19" t="s">
        <v>716</v>
      </c>
    </row>
    <row r="20" spans="2:40" hidden="1">
      <c r="B20" t="s">
        <v>744</v>
      </c>
      <c r="E20" t="s">
        <v>722</v>
      </c>
      <c r="F20" t="s">
        <v>727</v>
      </c>
      <c r="I20">
        <v>448519</v>
      </c>
      <c r="J20" t="s">
        <v>741</v>
      </c>
      <c r="K20" s="93">
        <v>45657</v>
      </c>
      <c r="L20" t="s">
        <v>731</v>
      </c>
      <c r="M20" t="s">
        <v>732</v>
      </c>
      <c r="N20" t="s">
        <v>733</v>
      </c>
      <c r="R20" t="s">
        <v>734</v>
      </c>
      <c r="AD20" t="s">
        <v>526</v>
      </c>
      <c r="AE20" t="s">
        <v>735</v>
      </c>
      <c r="AI20" t="s">
        <v>716</v>
      </c>
    </row>
    <row r="21" spans="2:40">
      <c r="B21" t="s">
        <v>744</v>
      </c>
      <c r="F21" t="s">
        <v>727</v>
      </c>
      <c r="I21" t="s">
        <v>753</v>
      </c>
      <c r="J21" t="s">
        <v>741</v>
      </c>
      <c r="K21" s="93">
        <v>45838</v>
      </c>
      <c r="L21" t="s">
        <v>754</v>
      </c>
      <c r="M21" t="s">
        <v>755</v>
      </c>
      <c r="N21" t="s">
        <v>733</v>
      </c>
      <c r="R21" t="s">
        <v>734</v>
      </c>
      <c r="AD21" t="s">
        <v>526</v>
      </c>
      <c r="AE21" t="s">
        <v>750</v>
      </c>
      <c r="AI21" t="s">
        <v>715</v>
      </c>
    </row>
    <row r="22" spans="2:40">
      <c r="B22" t="s">
        <v>744</v>
      </c>
      <c r="F22" t="s">
        <v>727</v>
      </c>
      <c r="I22">
        <v>207504</v>
      </c>
      <c r="J22" t="s">
        <v>741</v>
      </c>
      <c r="K22" s="93">
        <v>45838</v>
      </c>
      <c r="L22" t="s">
        <v>756</v>
      </c>
      <c r="M22" t="s">
        <v>757</v>
      </c>
      <c r="N22" t="s">
        <v>712</v>
      </c>
      <c r="R22" t="s">
        <v>734</v>
      </c>
      <c r="AD22" t="s">
        <v>526</v>
      </c>
      <c r="AE22" t="s">
        <v>735</v>
      </c>
      <c r="AI22" t="s">
        <v>716</v>
      </c>
    </row>
    <row r="23" spans="2:40">
      <c r="B23" t="s">
        <v>758</v>
      </c>
      <c r="E23" t="s">
        <v>726</v>
      </c>
      <c r="F23" t="s">
        <v>759</v>
      </c>
      <c r="G23" t="s">
        <v>760</v>
      </c>
      <c r="J23" t="s">
        <v>761</v>
      </c>
      <c r="K23" s="93">
        <v>45657</v>
      </c>
      <c r="L23" t="s">
        <v>762</v>
      </c>
      <c r="M23" t="s">
        <v>763</v>
      </c>
      <c r="N23" t="s">
        <v>712</v>
      </c>
      <c r="O23" t="s">
        <v>764</v>
      </c>
      <c r="P23" t="s">
        <v>765</v>
      </c>
      <c r="Q23" t="s">
        <v>715</v>
      </c>
      <c r="R23" t="s">
        <v>766</v>
      </c>
      <c r="X23" t="s">
        <v>767</v>
      </c>
      <c r="Y23" t="s">
        <v>715</v>
      </c>
      <c r="Z23" t="s">
        <v>768</v>
      </c>
      <c r="AA23" t="s">
        <v>769</v>
      </c>
      <c r="AB23" t="s">
        <v>769</v>
      </c>
      <c r="AC23" t="s">
        <v>715</v>
      </c>
      <c r="AD23" t="s">
        <v>770</v>
      </c>
      <c r="AE23" t="s">
        <v>750</v>
      </c>
      <c r="AF23" t="s">
        <v>716</v>
      </c>
      <c r="AG23" t="s">
        <v>715</v>
      </c>
      <c r="AH23" t="s">
        <v>771</v>
      </c>
      <c r="AI23" t="s">
        <v>772</v>
      </c>
      <c r="AJ23" t="s">
        <v>715</v>
      </c>
      <c r="AK23" t="s">
        <v>716</v>
      </c>
      <c r="AL23" t="s">
        <v>716</v>
      </c>
      <c r="AM23" t="s">
        <v>716</v>
      </c>
      <c r="AN23" t="s">
        <v>716</v>
      </c>
    </row>
    <row r="24" spans="2:40" ht="57.95">
      <c r="B24" t="s">
        <v>758</v>
      </c>
      <c r="E24" t="s">
        <v>726</v>
      </c>
      <c r="F24" t="s">
        <v>759</v>
      </c>
      <c r="G24" s="60" t="s">
        <v>773</v>
      </c>
      <c r="J24" t="s">
        <v>774</v>
      </c>
      <c r="K24" s="93">
        <v>45657</v>
      </c>
      <c r="L24" t="s">
        <v>762</v>
      </c>
      <c r="M24" t="s">
        <v>763</v>
      </c>
      <c r="N24" t="s">
        <v>712</v>
      </c>
      <c r="O24" t="s">
        <v>775</v>
      </c>
      <c r="P24" t="s">
        <v>776</v>
      </c>
      <c r="Q24" t="s">
        <v>715</v>
      </c>
      <c r="R24" t="s">
        <v>777</v>
      </c>
      <c r="S24" t="s">
        <v>778</v>
      </c>
      <c r="X24" t="s">
        <v>767</v>
      </c>
      <c r="Y24" t="s">
        <v>715</v>
      </c>
      <c r="Z24" t="s">
        <v>768</v>
      </c>
      <c r="AA24" t="s">
        <v>769</v>
      </c>
      <c r="AB24" t="s">
        <v>769</v>
      </c>
      <c r="AC24" t="s">
        <v>715</v>
      </c>
      <c r="AD24" t="s">
        <v>770</v>
      </c>
      <c r="AE24" t="s">
        <v>750</v>
      </c>
      <c r="AF24" t="s">
        <v>716</v>
      </c>
      <c r="AG24" t="s">
        <v>715</v>
      </c>
      <c r="AH24" t="s">
        <v>771</v>
      </c>
      <c r="AI24" t="s">
        <v>772</v>
      </c>
      <c r="AJ24" t="s">
        <v>715</v>
      </c>
      <c r="AK24" t="s">
        <v>779</v>
      </c>
      <c r="AL24" t="s">
        <v>715</v>
      </c>
      <c r="AM24" t="s">
        <v>716</v>
      </c>
      <c r="AN24" t="s">
        <v>716</v>
      </c>
    </row>
    <row r="25" spans="2:40" hidden="1">
      <c r="B25" t="s">
        <v>758</v>
      </c>
      <c r="E25" t="s">
        <v>722</v>
      </c>
      <c r="F25" t="s">
        <v>759</v>
      </c>
      <c r="G25" t="s">
        <v>780</v>
      </c>
      <c r="H25" t="s">
        <v>721</v>
      </c>
      <c r="J25" t="s">
        <v>774</v>
      </c>
      <c r="K25" s="93">
        <v>45657</v>
      </c>
      <c r="L25" t="s">
        <v>762</v>
      </c>
      <c r="M25" t="s">
        <v>763</v>
      </c>
      <c r="N25" t="s">
        <v>712</v>
      </c>
      <c r="O25" t="s">
        <v>775</v>
      </c>
      <c r="P25" t="s">
        <v>776</v>
      </c>
      <c r="Q25" t="s">
        <v>715</v>
      </c>
      <c r="R25" t="s">
        <v>777</v>
      </c>
      <c r="S25" t="s">
        <v>778</v>
      </c>
      <c r="X25" t="s">
        <v>767</v>
      </c>
      <c r="Y25" t="s">
        <v>715</v>
      </c>
      <c r="Z25" t="s">
        <v>768</v>
      </c>
      <c r="AA25" t="s">
        <v>769</v>
      </c>
      <c r="AB25" t="s">
        <v>769</v>
      </c>
      <c r="AC25" t="s">
        <v>715</v>
      </c>
      <c r="AD25" t="s">
        <v>770</v>
      </c>
      <c r="AE25" t="s">
        <v>750</v>
      </c>
      <c r="AF25" t="s">
        <v>716</v>
      </c>
      <c r="AG25" t="s">
        <v>715</v>
      </c>
      <c r="AH25" t="s">
        <v>771</v>
      </c>
      <c r="AI25" t="s">
        <v>772</v>
      </c>
      <c r="AJ25" t="s">
        <v>715</v>
      </c>
      <c r="AK25" t="s">
        <v>779</v>
      </c>
      <c r="AL25" t="s">
        <v>715</v>
      </c>
      <c r="AM25" t="s">
        <v>716</v>
      </c>
      <c r="AN25" t="s">
        <v>716</v>
      </c>
    </row>
    <row r="26" spans="2:40">
      <c r="B26" t="s">
        <v>758</v>
      </c>
      <c r="F26" t="s">
        <v>759</v>
      </c>
      <c r="G26" t="s">
        <v>781</v>
      </c>
      <c r="J26">
        <v>11842</v>
      </c>
      <c r="K26" s="93">
        <v>45657</v>
      </c>
      <c r="L26" t="s">
        <v>762</v>
      </c>
      <c r="M26" t="s">
        <v>763</v>
      </c>
      <c r="N26" t="s">
        <v>712</v>
      </c>
      <c r="O26" t="s">
        <v>782</v>
      </c>
      <c r="P26" t="s">
        <v>783</v>
      </c>
      <c r="Q26" t="s">
        <v>715</v>
      </c>
      <c r="R26" t="s">
        <v>777</v>
      </c>
      <c r="S26" t="s">
        <v>778</v>
      </c>
      <c r="X26" t="s">
        <v>767</v>
      </c>
      <c r="Y26" t="s">
        <v>715</v>
      </c>
      <c r="Z26" t="s">
        <v>768</v>
      </c>
      <c r="AA26" t="s">
        <v>769</v>
      </c>
      <c r="AB26" t="s">
        <v>769</v>
      </c>
      <c r="AC26" t="s">
        <v>715</v>
      </c>
      <c r="AD26" t="s">
        <v>770</v>
      </c>
      <c r="AE26" t="s">
        <v>750</v>
      </c>
      <c r="AF26" t="s">
        <v>715</v>
      </c>
      <c r="AG26" t="s">
        <v>715</v>
      </c>
      <c r="AH26" t="s">
        <v>771</v>
      </c>
      <c r="AI26" t="s">
        <v>772</v>
      </c>
      <c r="AJ26" t="s">
        <v>715</v>
      </c>
      <c r="AK26" t="s">
        <v>716</v>
      </c>
      <c r="AL26" t="s">
        <v>715</v>
      </c>
      <c r="AM26" t="s">
        <v>716</v>
      </c>
      <c r="AN26" t="s">
        <v>716</v>
      </c>
    </row>
    <row r="27" spans="2:40">
      <c r="B27" t="s">
        <v>758</v>
      </c>
      <c r="F27" t="s">
        <v>759</v>
      </c>
      <c r="G27" t="s">
        <v>784</v>
      </c>
      <c r="H27" t="s">
        <v>721</v>
      </c>
      <c r="J27">
        <v>11022</v>
      </c>
      <c r="K27" s="93"/>
      <c r="L27" t="s">
        <v>762</v>
      </c>
      <c r="M27" t="s">
        <v>763</v>
      </c>
      <c r="N27" t="s">
        <v>712</v>
      </c>
      <c r="O27" t="s">
        <v>782</v>
      </c>
      <c r="P27" t="s">
        <v>783</v>
      </c>
      <c r="Q27" t="s">
        <v>715</v>
      </c>
      <c r="R27" t="s">
        <v>777</v>
      </c>
      <c r="S27" t="s">
        <v>778</v>
      </c>
      <c r="X27" t="s">
        <v>767</v>
      </c>
      <c r="Y27" t="s">
        <v>715</v>
      </c>
      <c r="Z27" t="s">
        <v>768</v>
      </c>
      <c r="AA27" t="s">
        <v>769</v>
      </c>
      <c r="AB27" t="s">
        <v>769</v>
      </c>
      <c r="AC27" t="s">
        <v>715</v>
      </c>
      <c r="AD27" t="s">
        <v>770</v>
      </c>
      <c r="AE27" t="s">
        <v>750</v>
      </c>
      <c r="AG27" t="s">
        <v>715</v>
      </c>
      <c r="AH27" t="s">
        <v>771</v>
      </c>
      <c r="AI27" t="s">
        <v>715</v>
      </c>
      <c r="AJ27" t="s">
        <v>715</v>
      </c>
      <c r="AK27" t="s">
        <v>715</v>
      </c>
      <c r="AL27" t="s">
        <v>715</v>
      </c>
      <c r="AM27" t="s">
        <v>715</v>
      </c>
      <c r="AN27" t="s">
        <v>715</v>
      </c>
    </row>
    <row r="28" spans="2:40">
      <c r="B28" t="s">
        <v>758</v>
      </c>
      <c r="F28" t="s">
        <v>759</v>
      </c>
      <c r="G28" t="s">
        <v>785</v>
      </c>
      <c r="J28">
        <v>109008</v>
      </c>
      <c r="K28" s="93"/>
      <c r="L28" t="s">
        <v>762</v>
      </c>
      <c r="M28" t="s">
        <v>763</v>
      </c>
      <c r="N28" t="s">
        <v>712</v>
      </c>
      <c r="O28" t="s">
        <v>782</v>
      </c>
      <c r="P28" t="s">
        <v>776</v>
      </c>
      <c r="Q28" t="s">
        <v>715</v>
      </c>
      <c r="R28" t="s">
        <v>777</v>
      </c>
      <c r="S28" t="s">
        <v>778</v>
      </c>
      <c r="X28" t="s">
        <v>767</v>
      </c>
      <c r="Y28" t="s">
        <v>715</v>
      </c>
      <c r="Z28" t="s">
        <v>768</v>
      </c>
      <c r="AA28" t="s">
        <v>769</v>
      </c>
      <c r="AB28" t="s">
        <v>769</v>
      </c>
      <c r="AC28" t="s">
        <v>715</v>
      </c>
      <c r="AD28" t="s">
        <v>770</v>
      </c>
      <c r="AE28" t="s">
        <v>750</v>
      </c>
      <c r="AG28" t="s">
        <v>715</v>
      </c>
      <c r="AH28" t="s">
        <v>771</v>
      </c>
      <c r="AI28" t="s">
        <v>715</v>
      </c>
      <c r="AJ28" t="s">
        <v>715</v>
      </c>
      <c r="AK28" t="s">
        <v>715</v>
      </c>
      <c r="AL28" t="s">
        <v>715</v>
      </c>
      <c r="AM28" t="s">
        <v>715</v>
      </c>
      <c r="AN28" t="s">
        <v>715</v>
      </c>
    </row>
    <row r="29" spans="2:40">
      <c r="B29" t="s">
        <v>758</v>
      </c>
      <c r="F29" t="s">
        <v>759</v>
      </c>
      <c r="G29" t="s">
        <v>786</v>
      </c>
      <c r="J29">
        <v>1089</v>
      </c>
      <c r="K29" s="93"/>
      <c r="L29" t="s">
        <v>762</v>
      </c>
      <c r="M29" t="s">
        <v>763</v>
      </c>
      <c r="N29" t="s">
        <v>712</v>
      </c>
      <c r="O29" t="s">
        <v>782</v>
      </c>
      <c r="P29" t="s">
        <v>787</v>
      </c>
      <c r="Q29" t="s">
        <v>715</v>
      </c>
      <c r="R29" t="s">
        <v>777</v>
      </c>
      <c r="S29" t="s">
        <v>778</v>
      </c>
      <c r="X29" t="s">
        <v>767</v>
      </c>
      <c r="Y29" t="s">
        <v>715</v>
      </c>
      <c r="Z29" t="s">
        <v>768</v>
      </c>
      <c r="AA29" t="s">
        <v>769</v>
      </c>
      <c r="AB29" t="s">
        <v>769</v>
      </c>
      <c r="AC29" t="s">
        <v>715</v>
      </c>
      <c r="AD29" t="s">
        <v>770</v>
      </c>
      <c r="AE29" t="s">
        <v>750</v>
      </c>
      <c r="AG29" t="s">
        <v>715</v>
      </c>
      <c r="AH29" t="s">
        <v>771</v>
      </c>
      <c r="AI29" t="s">
        <v>715</v>
      </c>
      <c r="AJ29" t="s">
        <v>715</v>
      </c>
      <c r="AK29" t="s">
        <v>715</v>
      </c>
      <c r="AL29" t="s">
        <v>715</v>
      </c>
      <c r="AM29" t="s">
        <v>715</v>
      </c>
      <c r="AN29" t="s">
        <v>715</v>
      </c>
    </row>
    <row r="30" spans="2:40" hidden="1">
      <c r="B30" t="s">
        <v>758</v>
      </c>
      <c r="E30" t="s">
        <v>722</v>
      </c>
      <c r="F30" t="s">
        <v>759</v>
      </c>
      <c r="G30" t="s">
        <v>788</v>
      </c>
      <c r="J30">
        <v>106154</v>
      </c>
      <c r="K30" s="93">
        <v>45657</v>
      </c>
      <c r="L30" t="s">
        <v>762</v>
      </c>
      <c r="M30" t="s">
        <v>763</v>
      </c>
      <c r="N30" t="s">
        <v>712</v>
      </c>
      <c r="O30" t="s">
        <v>789</v>
      </c>
      <c r="P30" t="s">
        <v>790</v>
      </c>
      <c r="Q30" t="s">
        <v>715</v>
      </c>
      <c r="R30" t="s">
        <v>777</v>
      </c>
      <c r="S30" t="s">
        <v>778</v>
      </c>
      <c r="X30" t="s">
        <v>767</v>
      </c>
      <c r="Y30" t="s">
        <v>715</v>
      </c>
      <c r="Z30" t="s">
        <v>768</v>
      </c>
      <c r="AA30" t="s">
        <v>769</v>
      </c>
      <c r="AB30" t="s">
        <v>769</v>
      </c>
      <c r="AC30" t="s">
        <v>715</v>
      </c>
      <c r="AD30" t="s">
        <v>770</v>
      </c>
      <c r="AE30" t="s">
        <v>750</v>
      </c>
      <c r="AF30" t="s">
        <v>715</v>
      </c>
      <c r="AG30" t="s">
        <v>715</v>
      </c>
      <c r="AH30" t="s">
        <v>771</v>
      </c>
      <c r="AI30" t="s">
        <v>772</v>
      </c>
      <c r="AJ30" t="s">
        <v>715</v>
      </c>
      <c r="AK30" t="s">
        <v>716</v>
      </c>
      <c r="AL30" t="s">
        <v>715</v>
      </c>
      <c r="AM30" t="s">
        <v>716</v>
      </c>
      <c r="AN30" t="s">
        <v>716</v>
      </c>
    </row>
    <row r="31" spans="2:40">
      <c r="B31" t="s">
        <v>758</v>
      </c>
      <c r="F31" t="s">
        <v>759</v>
      </c>
      <c r="G31" t="s">
        <v>791</v>
      </c>
      <c r="J31">
        <v>524006</v>
      </c>
      <c r="K31" s="93">
        <v>45657</v>
      </c>
      <c r="L31" t="s">
        <v>762</v>
      </c>
      <c r="M31" t="s">
        <v>763</v>
      </c>
      <c r="N31" t="s">
        <v>712</v>
      </c>
      <c r="O31" t="s">
        <v>792</v>
      </c>
      <c r="P31" t="s">
        <v>765</v>
      </c>
      <c r="Q31" t="s">
        <v>715</v>
      </c>
      <c r="R31" t="s">
        <v>777</v>
      </c>
      <c r="S31" t="s">
        <v>778</v>
      </c>
      <c r="X31" t="s">
        <v>767</v>
      </c>
      <c r="Y31" t="s">
        <v>715</v>
      </c>
      <c r="Z31" t="s">
        <v>768</v>
      </c>
      <c r="AA31" t="s">
        <v>769</v>
      </c>
      <c r="AB31" t="s">
        <v>769</v>
      </c>
      <c r="AC31" t="s">
        <v>715</v>
      </c>
      <c r="AD31" t="s">
        <v>770</v>
      </c>
      <c r="AE31" t="s">
        <v>750</v>
      </c>
      <c r="AF31" t="s">
        <v>715</v>
      </c>
      <c r="AG31" t="s">
        <v>715</v>
      </c>
      <c r="AH31" t="s">
        <v>793</v>
      </c>
      <c r="AI31" t="s">
        <v>772</v>
      </c>
      <c r="AJ31" t="s">
        <v>715</v>
      </c>
      <c r="AK31" t="s">
        <v>716</v>
      </c>
      <c r="AL31" t="s">
        <v>715</v>
      </c>
      <c r="AM31" t="s">
        <v>715</v>
      </c>
      <c r="AN31" t="s">
        <v>716</v>
      </c>
    </row>
    <row r="32" spans="2:40" hidden="1">
      <c r="B32" t="s">
        <v>758</v>
      </c>
      <c r="E32" t="s">
        <v>722</v>
      </c>
      <c r="F32" t="s">
        <v>759</v>
      </c>
      <c r="G32" t="s">
        <v>794</v>
      </c>
      <c r="J32">
        <v>289003</v>
      </c>
      <c r="K32" s="93">
        <v>45657</v>
      </c>
      <c r="L32" t="s">
        <v>762</v>
      </c>
      <c r="M32" t="s">
        <v>763</v>
      </c>
      <c r="N32" t="s">
        <v>712</v>
      </c>
      <c r="O32" t="s">
        <v>795</v>
      </c>
      <c r="P32" t="s">
        <v>783</v>
      </c>
      <c r="Q32" t="s">
        <v>715</v>
      </c>
      <c r="R32" t="s">
        <v>777</v>
      </c>
      <c r="S32" t="s">
        <v>778</v>
      </c>
      <c r="X32" t="s">
        <v>767</v>
      </c>
      <c r="Y32" t="s">
        <v>715</v>
      </c>
      <c r="Z32" t="s">
        <v>768</v>
      </c>
      <c r="AA32" t="s">
        <v>769</v>
      </c>
      <c r="AB32" t="s">
        <v>769</v>
      </c>
      <c r="AC32" t="s">
        <v>715</v>
      </c>
      <c r="AD32" t="s">
        <v>770</v>
      </c>
      <c r="AE32" t="s">
        <v>750</v>
      </c>
      <c r="AF32" t="s">
        <v>715</v>
      </c>
      <c r="AG32" t="s">
        <v>715</v>
      </c>
      <c r="AH32" t="s">
        <v>771</v>
      </c>
      <c r="AI32" t="s">
        <v>772</v>
      </c>
      <c r="AJ32" t="s">
        <v>715</v>
      </c>
      <c r="AK32" t="s">
        <v>716</v>
      </c>
      <c r="AL32" t="s">
        <v>715</v>
      </c>
      <c r="AM32" t="s">
        <v>716</v>
      </c>
      <c r="AN32" t="s">
        <v>716</v>
      </c>
    </row>
    <row r="33" spans="2:40" s="46" customFormat="1">
      <c r="B33" s="46" t="s">
        <v>758</v>
      </c>
      <c r="C33" s="46" t="s">
        <v>13</v>
      </c>
      <c r="D33" s="46" t="s">
        <v>796</v>
      </c>
      <c r="E33" s="46" t="s">
        <v>726</v>
      </c>
      <c r="F33" s="46" t="s">
        <v>759</v>
      </c>
      <c r="G33" s="46" t="s">
        <v>797</v>
      </c>
      <c r="J33" s="46">
        <v>108009</v>
      </c>
      <c r="K33" s="104">
        <v>45657</v>
      </c>
      <c r="L33" s="46" t="s">
        <v>762</v>
      </c>
      <c r="N33" s="46" t="s">
        <v>712</v>
      </c>
      <c r="O33" s="46" t="s">
        <v>798</v>
      </c>
      <c r="P33" s="46" t="s">
        <v>787</v>
      </c>
      <c r="Q33" s="46" t="s">
        <v>715</v>
      </c>
      <c r="R33" s="46" t="s">
        <v>777</v>
      </c>
      <c r="S33" s="46" t="s">
        <v>778</v>
      </c>
      <c r="X33" s="46" t="s">
        <v>767</v>
      </c>
      <c r="Y33" s="46" t="s">
        <v>715</v>
      </c>
      <c r="Z33" s="46" t="s">
        <v>768</v>
      </c>
      <c r="AA33" s="46" t="s">
        <v>769</v>
      </c>
      <c r="AB33" s="46" t="s">
        <v>769</v>
      </c>
      <c r="AC33" s="46" t="s">
        <v>715</v>
      </c>
      <c r="AD33" s="46" t="s">
        <v>770</v>
      </c>
      <c r="AE33" s="46" t="s">
        <v>750</v>
      </c>
      <c r="AF33" s="46" t="s">
        <v>715</v>
      </c>
      <c r="AG33" s="46" t="s">
        <v>715</v>
      </c>
      <c r="AH33" s="46" t="s">
        <v>771</v>
      </c>
      <c r="AI33" s="46" t="s">
        <v>772</v>
      </c>
      <c r="AJ33" s="46" t="s">
        <v>715</v>
      </c>
      <c r="AK33" s="46" t="s">
        <v>716</v>
      </c>
      <c r="AL33" s="46" t="s">
        <v>715</v>
      </c>
      <c r="AM33" s="46" t="s">
        <v>716</v>
      </c>
      <c r="AN33" s="46" t="s">
        <v>716</v>
      </c>
    </row>
    <row r="34" spans="2:40">
      <c r="B34" t="s">
        <v>758</v>
      </c>
      <c r="E34" t="s">
        <v>799</v>
      </c>
      <c r="F34" t="s">
        <v>759</v>
      </c>
      <c r="G34" t="s">
        <v>800</v>
      </c>
      <c r="I34" t="s">
        <v>801</v>
      </c>
      <c r="J34" t="s">
        <v>802</v>
      </c>
      <c r="K34" s="93">
        <v>45657</v>
      </c>
      <c r="L34" t="s">
        <v>803</v>
      </c>
      <c r="M34" t="s">
        <v>804</v>
      </c>
      <c r="N34" t="s">
        <v>712</v>
      </c>
      <c r="O34" t="s">
        <v>792</v>
      </c>
      <c r="P34" t="s">
        <v>805</v>
      </c>
      <c r="Q34" t="s">
        <v>715</v>
      </c>
      <c r="R34" t="s">
        <v>777</v>
      </c>
      <c r="S34" t="s">
        <v>778</v>
      </c>
      <c r="X34" t="s">
        <v>767</v>
      </c>
      <c r="Y34" t="s">
        <v>715</v>
      </c>
      <c r="Z34" t="s">
        <v>768</v>
      </c>
      <c r="AA34" t="s">
        <v>769</v>
      </c>
      <c r="AB34" t="s">
        <v>769</v>
      </c>
      <c r="AC34" t="s">
        <v>715</v>
      </c>
      <c r="AD34" t="s">
        <v>770</v>
      </c>
      <c r="AE34" t="s">
        <v>750</v>
      </c>
      <c r="AF34" t="s">
        <v>715</v>
      </c>
      <c r="AG34" t="s">
        <v>715</v>
      </c>
      <c r="AH34" t="s">
        <v>771</v>
      </c>
      <c r="AI34" t="s">
        <v>772</v>
      </c>
      <c r="AJ34" t="s">
        <v>715</v>
      </c>
      <c r="AK34" t="s">
        <v>716</v>
      </c>
      <c r="AL34" t="s">
        <v>715</v>
      </c>
      <c r="AM34" t="s">
        <v>716</v>
      </c>
      <c r="AN34" t="s">
        <v>716</v>
      </c>
    </row>
    <row r="35" spans="2:40" hidden="1">
      <c r="B35" t="s">
        <v>758</v>
      </c>
      <c r="E35" t="s">
        <v>722</v>
      </c>
      <c r="F35" t="s">
        <v>759</v>
      </c>
      <c r="G35" t="s">
        <v>806</v>
      </c>
      <c r="J35" t="s">
        <v>807</v>
      </c>
      <c r="K35" s="93">
        <v>45657</v>
      </c>
      <c r="L35" t="s">
        <v>762</v>
      </c>
      <c r="M35" t="s">
        <v>763</v>
      </c>
      <c r="N35" t="s">
        <v>712</v>
      </c>
      <c r="O35" t="s">
        <v>808</v>
      </c>
      <c r="P35" t="s">
        <v>787</v>
      </c>
      <c r="Q35" t="s">
        <v>716</v>
      </c>
      <c r="R35" t="s">
        <v>777</v>
      </c>
      <c r="S35" t="s">
        <v>778</v>
      </c>
      <c r="X35" t="s">
        <v>767</v>
      </c>
      <c r="Y35" t="s">
        <v>715</v>
      </c>
      <c r="Z35" t="s">
        <v>768</v>
      </c>
      <c r="AA35" t="s">
        <v>769</v>
      </c>
      <c r="AB35" t="s">
        <v>769</v>
      </c>
      <c r="AC35" t="s">
        <v>715</v>
      </c>
      <c r="AD35" t="s">
        <v>770</v>
      </c>
      <c r="AE35" t="s">
        <v>750</v>
      </c>
      <c r="AF35" t="s">
        <v>715</v>
      </c>
      <c r="AG35" t="s">
        <v>716</v>
      </c>
      <c r="AH35" t="s">
        <v>771</v>
      </c>
      <c r="AI35" t="s">
        <v>809</v>
      </c>
      <c r="AJ35" t="s">
        <v>810</v>
      </c>
      <c r="AK35" t="s">
        <v>716</v>
      </c>
      <c r="AL35" t="s">
        <v>716</v>
      </c>
      <c r="AM35" t="s">
        <v>716</v>
      </c>
      <c r="AN35" t="s">
        <v>716</v>
      </c>
    </row>
    <row r="36" spans="2:40" hidden="1">
      <c r="B36" t="s">
        <v>758</v>
      </c>
      <c r="E36" t="s">
        <v>722</v>
      </c>
      <c r="F36" t="s">
        <v>759</v>
      </c>
      <c r="G36" t="s">
        <v>811</v>
      </c>
      <c r="J36" t="s">
        <v>812</v>
      </c>
      <c r="K36" s="93">
        <v>45657</v>
      </c>
      <c r="L36" t="s">
        <v>762</v>
      </c>
      <c r="M36" t="s">
        <v>763</v>
      </c>
      <c r="N36" t="s">
        <v>712</v>
      </c>
      <c r="O36" t="s">
        <v>808</v>
      </c>
      <c r="P36" t="s">
        <v>765</v>
      </c>
      <c r="Q36" t="s">
        <v>715</v>
      </c>
      <c r="R36" t="s">
        <v>777</v>
      </c>
      <c r="S36" t="s">
        <v>778</v>
      </c>
      <c r="X36" t="s">
        <v>767</v>
      </c>
      <c r="Y36" t="s">
        <v>715</v>
      </c>
      <c r="Z36" t="s">
        <v>768</v>
      </c>
      <c r="AA36" t="s">
        <v>769</v>
      </c>
      <c r="AB36" t="s">
        <v>769</v>
      </c>
      <c r="AC36" t="s">
        <v>715</v>
      </c>
      <c r="AD36" t="s">
        <v>770</v>
      </c>
      <c r="AE36" t="s">
        <v>750</v>
      </c>
      <c r="AF36" t="s">
        <v>715</v>
      </c>
      <c r="AG36" t="s">
        <v>715</v>
      </c>
      <c r="AH36" t="s">
        <v>793</v>
      </c>
      <c r="AI36" t="s">
        <v>809</v>
      </c>
      <c r="AJ36" t="s">
        <v>813</v>
      </c>
      <c r="AK36" t="s">
        <v>716</v>
      </c>
      <c r="AL36" t="s">
        <v>716</v>
      </c>
      <c r="AM36" t="s">
        <v>716</v>
      </c>
      <c r="AN36" t="s">
        <v>716</v>
      </c>
    </row>
    <row r="37" spans="2:40">
      <c r="B37" t="s">
        <v>758</v>
      </c>
      <c r="E37" t="s">
        <v>726</v>
      </c>
      <c r="F37" t="s">
        <v>759</v>
      </c>
      <c r="G37" t="s">
        <v>814</v>
      </c>
      <c r="H37" t="s">
        <v>721</v>
      </c>
      <c r="J37" t="s">
        <v>812</v>
      </c>
      <c r="K37" s="93">
        <v>45657</v>
      </c>
      <c r="L37" t="s">
        <v>762</v>
      </c>
      <c r="M37" t="s">
        <v>763</v>
      </c>
      <c r="N37" t="s">
        <v>712</v>
      </c>
      <c r="O37" t="s">
        <v>808</v>
      </c>
      <c r="P37" t="s">
        <v>765</v>
      </c>
      <c r="Q37" t="s">
        <v>715</v>
      </c>
      <c r="R37" t="s">
        <v>777</v>
      </c>
      <c r="S37" t="s">
        <v>778</v>
      </c>
      <c r="X37" t="s">
        <v>767</v>
      </c>
      <c r="Y37" t="s">
        <v>715</v>
      </c>
      <c r="Z37" t="s">
        <v>768</v>
      </c>
      <c r="AA37" t="s">
        <v>769</v>
      </c>
      <c r="AB37" t="s">
        <v>769</v>
      </c>
      <c r="AC37" t="s">
        <v>715</v>
      </c>
      <c r="AD37" t="s">
        <v>815</v>
      </c>
      <c r="AE37" t="s">
        <v>750</v>
      </c>
      <c r="AF37" t="s">
        <v>715</v>
      </c>
      <c r="AG37" t="s">
        <v>715</v>
      </c>
      <c r="AH37" t="s">
        <v>793</v>
      </c>
      <c r="AI37" t="s">
        <v>809</v>
      </c>
      <c r="AJ37" t="s">
        <v>816</v>
      </c>
      <c r="AK37" t="s">
        <v>715</v>
      </c>
      <c r="AL37" t="s">
        <v>715</v>
      </c>
      <c r="AM37" t="s">
        <v>716</v>
      </c>
      <c r="AN37" t="s">
        <v>716</v>
      </c>
    </row>
    <row r="38" spans="2:40" hidden="1">
      <c r="B38" t="s">
        <v>758</v>
      </c>
      <c r="E38" t="s">
        <v>817</v>
      </c>
      <c r="F38" t="s">
        <v>759</v>
      </c>
      <c r="G38" t="s">
        <v>818</v>
      </c>
      <c r="I38" t="s">
        <v>819</v>
      </c>
      <c r="J38" t="s">
        <v>820</v>
      </c>
      <c r="K38" s="93">
        <v>45657</v>
      </c>
      <c r="L38" t="s">
        <v>803</v>
      </c>
      <c r="M38" t="s">
        <v>804</v>
      </c>
      <c r="N38" t="s">
        <v>712</v>
      </c>
      <c r="O38" t="s">
        <v>808</v>
      </c>
      <c r="P38" t="s">
        <v>783</v>
      </c>
      <c r="Q38" t="s">
        <v>715</v>
      </c>
      <c r="R38" t="s">
        <v>777</v>
      </c>
      <c r="S38" t="s">
        <v>778</v>
      </c>
      <c r="X38" t="s">
        <v>767</v>
      </c>
      <c r="Y38" t="s">
        <v>715</v>
      </c>
      <c r="Z38" t="s">
        <v>768</v>
      </c>
      <c r="AA38" t="s">
        <v>769</v>
      </c>
      <c r="AB38" t="s">
        <v>769</v>
      </c>
      <c r="AC38" t="s">
        <v>715</v>
      </c>
      <c r="AD38" t="s">
        <v>770</v>
      </c>
      <c r="AE38" t="s">
        <v>750</v>
      </c>
      <c r="AF38" t="s">
        <v>715</v>
      </c>
      <c r="AG38" t="s">
        <v>715</v>
      </c>
      <c r="AH38" t="s">
        <v>771</v>
      </c>
      <c r="AI38" t="s">
        <v>809</v>
      </c>
      <c r="AJ38" t="s">
        <v>821</v>
      </c>
      <c r="AK38" t="s">
        <v>716</v>
      </c>
      <c r="AL38" t="s">
        <v>716</v>
      </c>
      <c r="AM38" t="s">
        <v>716</v>
      </c>
      <c r="AN38" t="s">
        <v>716</v>
      </c>
    </row>
    <row r="39" spans="2:40" hidden="1">
      <c r="B39" t="s">
        <v>758</v>
      </c>
      <c r="E39" t="s">
        <v>722</v>
      </c>
      <c r="F39" t="s">
        <v>759</v>
      </c>
      <c r="G39" t="s">
        <v>822</v>
      </c>
      <c r="J39" t="s">
        <v>823</v>
      </c>
      <c r="K39" s="93">
        <v>45657</v>
      </c>
      <c r="L39" t="s">
        <v>762</v>
      </c>
      <c r="M39" t="s">
        <v>763</v>
      </c>
      <c r="N39" t="s">
        <v>712</v>
      </c>
      <c r="O39" t="s">
        <v>824</v>
      </c>
      <c r="P39" t="s">
        <v>787</v>
      </c>
      <c r="Q39" t="s">
        <v>716</v>
      </c>
      <c r="R39" t="s">
        <v>777</v>
      </c>
      <c r="S39" t="s">
        <v>778</v>
      </c>
      <c r="X39" t="s">
        <v>767</v>
      </c>
      <c r="Y39" t="s">
        <v>715</v>
      </c>
      <c r="Z39" t="s">
        <v>768</v>
      </c>
      <c r="AA39" t="s">
        <v>769</v>
      </c>
      <c r="AB39" t="s">
        <v>769</v>
      </c>
      <c r="AC39" t="s">
        <v>715</v>
      </c>
      <c r="AD39" t="s">
        <v>770</v>
      </c>
      <c r="AE39" t="s">
        <v>750</v>
      </c>
      <c r="AF39" t="s">
        <v>715</v>
      </c>
      <c r="AG39" t="s">
        <v>716</v>
      </c>
      <c r="AH39" t="s">
        <v>771</v>
      </c>
      <c r="AI39" t="s">
        <v>772</v>
      </c>
      <c r="AJ39" t="s">
        <v>825</v>
      </c>
      <c r="AK39" t="s">
        <v>716</v>
      </c>
      <c r="AL39" t="s">
        <v>715</v>
      </c>
      <c r="AM39" t="s">
        <v>716</v>
      </c>
      <c r="AN39" t="s">
        <v>716</v>
      </c>
    </row>
    <row r="40" spans="2:40">
      <c r="B40" t="s">
        <v>758</v>
      </c>
      <c r="E40" t="s">
        <v>726</v>
      </c>
      <c r="F40" t="s">
        <v>759</v>
      </c>
      <c r="G40" t="s">
        <v>826</v>
      </c>
      <c r="J40" t="s">
        <v>823</v>
      </c>
      <c r="K40" s="93">
        <v>45657</v>
      </c>
      <c r="L40" t="s">
        <v>762</v>
      </c>
      <c r="M40" t="s">
        <v>763</v>
      </c>
      <c r="N40" t="s">
        <v>712</v>
      </c>
      <c r="O40" t="s">
        <v>824</v>
      </c>
      <c r="P40" t="s">
        <v>787</v>
      </c>
      <c r="Q40" t="s">
        <v>716</v>
      </c>
      <c r="R40" t="s">
        <v>777</v>
      </c>
      <c r="S40" t="s">
        <v>778</v>
      </c>
      <c r="X40" t="s">
        <v>767</v>
      </c>
      <c r="Y40" t="s">
        <v>715</v>
      </c>
      <c r="Z40" t="s">
        <v>768</v>
      </c>
      <c r="AA40" t="s">
        <v>769</v>
      </c>
      <c r="AB40" t="s">
        <v>769</v>
      </c>
      <c r="AC40" t="s">
        <v>715</v>
      </c>
      <c r="AD40" t="s">
        <v>770</v>
      </c>
      <c r="AE40" t="s">
        <v>735</v>
      </c>
      <c r="AF40" t="s">
        <v>715</v>
      </c>
      <c r="AG40" t="s">
        <v>716</v>
      </c>
      <c r="AH40" t="s">
        <v>771</v>
      </c>
      <c r="AI40" t="s">
        <v>827</v>
      </c>
      <c r="AJ40" t="s">
        <v>715</v>
      </c>
      <c r="AK40" t="s">
        <v>715</v>
      </c>
      <c r="AL40" t="s">
        <v>715</v>
      </c>
      <c r="AM40" t="s">
        <v>715</v>
      </c>
      <c r="AN40" t="s">
        <v>715</v>
      </c>
    </row>
    <row r="41" spans="2:40">
      <c r="B41" t="s">
        <v>758</v>
      </c>
      <c r="E41" t="s">
        <v>799</v>
      </c>
      <c r="F41" t="s">
        <v>759</v>
      </c>
      <c r="G41" t="s">
        <v>828</v>
      </c>
      <c r="I41" t="s">
        <v>829</v>
      </c>
      <c r="J41" t="s">
        <v>830</v>
      </c>
      <c r="K41" s="93">
        <v>45657</v>
      </c>
      <c r="L41" t="s">
        <v>803</v>
      </c>
      <c r="M41" t="s">
        <v>804</v>
      </c>
      <c r="N41" t="s">
        <v>712</v>
      </c>
      <c r="O41" t="s">
        <v>824</v>
      </c>
      <c r="P41" t="s">
        <v>783</v>
      </c>
      <c r="Q41" t="s">
        <v>715</v>
      </c>
      <c r="R41" t="s">
        <v>777</v>
      </c>
      <c r="S41" t="s">
        <v>778</v>
      </c>
      <c r="X41" t="s">
        <v>767</v>
      </c>
      <c r="Y41" t="s">
        <v>715</v>
      </c>
      <c r="Z41" t="s">
        <v>768</v>
      </c>
      <c r="AA41" t="s">
        <v>769</v>
      </c>
      <c r="AB41" t="s">
        <v>769</v>
      </c>
      <c r="AC41" t="s">
        <v>715</v>
      </c>
      <c r="AD41" t="s">
        <v>770</v>
      </c>
      <c r="AE41" t="s">
        <v>750</v>
      </c>
      <c r="AF41" t="s">
        <v>715</v>
      </c>
      <c r="AG41" t="s">
        <v>715</v>
      </c>
      <c r="AH41" t="s">
        <v>771</v>
      </c>
      <c r="AI41" t="s">
        <v>772</v>
      </c>
      <c r="AJ41" t="s">
        <v>831</v>
      </c>
      <c r="AK41" t="s">
        <v>716</v>
      </c>
      <c r="AL41" t="s">
        <v>715</v>
      </c>
      <c r="AM41" t="s">
        <v>716</v>
      </c>
      <c r="AN41" t="s">
        <v>716</v>
      </c>
    </row>
    <row r="42" spans="2:40" ht="43.5" hidden="1">
      <c r="B42" t="s">
        <v>758</v>
      </c>
      <c r="E42" t="s">
        <v>832</v>
      </c>
      <c r="F42" t="s">
        <v>759</v>
      </c>
      <c r="G42" s="60" t="s">
        <v>833</v>
      </c>
      <c r="J42" t="s">
        <v>834</v>
      </c>
      <c r="K42" s="93">
        <v>45838</v>
      </c>
      <c r="L42" t="s">
        <v>762</v>
      </c>
      <c r="M42" t="s">
        <v>763</v>
      </c>
      <c r="N42" t="s">
        <v>712</v>
      </c>
      <c r="O42" t="s">
        <v>824</v>
      </c>
      <c r="P42" t="s">
        <v>765</v>
      </c>
      <c r="Q42" t="s">
        <v>715</v>
      </c>
      <c r="R42" t="s">
        <v>777</v>
      </c>
      <c r="S42" t="s">
        <v>778</v>
      </c>
      <c r="X42" t="s">
        <v>767</v>
      </c>
      <c r="Y42" t="s">
        <v>715</v>
      </c>
      <c r="Z42" t="s">
        <v>768</v>
      </c>
      <c r="AA42" t="s">
        <v>769</v>
      </c>
      <c r="AB42" t="s">
        <v>769</v>
      </c>
      <c r="AC42" t="s">
        <v>715</v>
      </c>
      <c r="AD42" t="s">
        <v>770</v>
      </c>
      <c r="AE42" t="s">
        <v>750</v>
      </c>
      <c r="AF42" t="s">
        <v>716</v>
      </c>
      <c r="AG42" t="s">
        <v>715</v>
      </c>
      <c r="AH42" t="s">
        <v>771</v>
      </c>
      <c r="AI42" t="s">
        <v>772</v>
      </c>
      <c r="AJ42" t="s">
        <v>835</v>
      </c>
      <c r="AK42" t="s">
        <v>715</v>
      </c>
      <c r="AL42" t="s">
        <v>715</v>
      </c>
      <c r="AM42" t="s">
        <v>715</v>
      </c>
      <c r="AN42" t="s">
        <v>715</v>
      </c>
    </row>
    <row r="43" spans="2:40">
      <c r="B43" t="s">
        <v>758</v>
      </c>
      <c r="E43" t="s">
        <v>726</v>
      </c>
      <c r="F43" t="s">
        <v>759</v>
      </c>
      <c r="G43" t="s">
        <v>836</v>
      </c>
      <c r="J43" t="s">
        <v>834</v>
      </c>
      <c r="K43" s="93">
        <v>45838</v>
      </c>
      <c r="L43" t="s">
        <v>762</v>
      </c>
      <c r="M43" t="s">
        <v>763</v>
      </c>
      <c r="N43" t="s">
        <v>712</v>
      </c>
      <c r="O43" t="s">
        <v>824</v>
      </c>
      <c r="P43" t="s">
        <v>765</v>
      </c>
      <c r="Q43" t="s">
        <v>715</v>
      </c>
      <c r="R43" t="s">
        <v>777</v>
      </c>
      <c r="S43" t="s">
        <v>778</v>
      </c>
      <c r="X43" t="s">
        <v>767</v>
      </c>
      <c r="Y43" t="s">
        <v>715</v>
      </c>
      <c r="Z43" t="s">
        <v>768</v>
      </c>
      <c r="AA43" t="s">
        <v>769</v>
      </c>
      <c r="AB43" t="s">
        <v>769</v>
      </c>
      <c r="AC43" t="s">
        <v>715</v>
      </c>
      <c r="AD43" t="s">
        <v>815</v>
      </c>
      <c r="AE43" t="s">
        <v>750</v>
      </c>
      <c r="AF43" t="s">
        <v>716</v>
      </c>
      <c r="AG43" t="s">
        <v>715</v>
      </c>
      <c r="AH43" t="s">
        <v>771</v>
      </c>
      <c r="AI43" t="s">
        <v>772</v>
      </c>
      <c r="AJ43" t="s">
        <v>837</v>
      </c>
      <c r="AK43" t="s">
        <v>715</v>
      </c>
      <c r="AL43" t="s">
        <v>715</v>
      </c>
      <c r="AM43" t="s">
        <v>715</v>
      </c>
      <c r="AN43" t="s">
        <v>716</v>
      </c>
    </row>
    <row r="44" spans="2:40" hidden="1">
      <c r="B44" t="s">
        <v>758</v>
      </c>
      <c r="E44" t="s">
        <v>832</v>
      </c>
      <c r="F44" t="s">
        <v>759</v>
      </c>
      <c r="G44" t="s">
        <v>838</v>
      </c>
      <c r="J44" t="s">
        <v>839</v>
      </c>
      <c r="K44" s="93">
        <v>45565</v>
      </c>
      <c r="L44" t="s">
        <v>762</v>
      </c>
      <c r="M44" t="s">
        <v>763</v>
      </c>
      <c r="N44" t="s">
        <v>712</v>
      </c>
      <c r="O44" t="s">
        <v>824</v>
      </c>
      <c r="P44" t="s">
        <v>787</v>
      </c>
      <c r="Q44" t="s">
        <v>715</v>
      </c>
      <c r="R44" t="s">
        <v>777</v>
      </c>
      <c r="S44" t="s">
        <v>778</v>
      </c>
      <c r="X44" t="s">
        <v>767</v>
      </c>
      <c r="Y44" t="s">
        <v>715</v>
      </c>
      <c r="Z44" t="s">
        <v>768</v>
      </c>
      <c r="AA44" t="s">
        <v>769</v>
      </c>
      <c r="AB44" t="s">
        <v>769</v>
      </c>
      <c r="AC44" t="s">
        <v>715</v>
      </c>
      <c r="AD44" t="s">
        <v>770</v>
      </c>
      <c r="AE44" t="s">
        <v>750</v>
      </c>
      <c r="AH44" t="s">
        <v>715</v>
      </c>
      <c r="AI44" t="s">
        <v>715</v>
      </c>
      <c r="AJ44" t="s">
        <v>715</v>
      </c>
      <c r="AK44" t="s">
        <v>715</v>
      </c>
      <c r="AL44" t="s">
        <v>715</v>
      </c>
      <c r="AM44" t="s">
        <v>715</v>
      </c>
      <c r="AN44" t="s">
        <v>715</v>
      </c>
    </row>
    <row r="45" spans="2:40" s="92" customFormat="1" ht="15">
      <c r="B45" s="92" t="s">
        <v>758</v>
      </c>
      <c r="D45" s="92" t="s">
        <v>239</v>
      </c>
      <c r="F45" s="92" t="s">
        <v>759</v>
      </c>
      <c r="G45" s="92" t="s">
        <v>840</v>
      </c>
      <c r="J45" s="92" t="s">
        <v>841</v>
      </c>
      <c r="K45" s="105">
        <v>45657</v>
      </c>
      <c r="L45" s="92" t="s">
        <v>762</v>
      </c>
      <c r="M45" s="92" t="s">
        <v>763</v>
      </c>
      <c r="N45" s="92" t="s">
        <v>712</v>
      </c>
      <c r="O45" s="92" t="s">
        <v>842</v>
      </c>
      <c r="P45" s="92" t="s">
        <v>787</v>
      </c>
      <c r="Q45" s="92" t="s">
        <v>715</v>
      </c>
      <c r="R45" s="92" t="s">
        <v>777</v>
      </c>
      <c r="S45" s="92" t="s">
        <v>778</v>
      </c>
      <c r="X45" s="92" t="s">
        <v>767</v>
      </c>
      <c r="Y45" s="92" t="s">
        <v>715</v>
      </c>
      <c r="Z45" s="92" t="s">
        <v>768</v>
      </c>
      <c r="AA45" s="92" t="s">
        <v>769</v>
      </c>
      <c r="AB45" s="92" t="s">
        <v>769</v>
      </c>
      <c r="AC45" s="92" t="s">
        <v>715</v>
      </c>
      <c r="AD45" s="92" t="s">
        <v>770</v>
      </c>
      <c r="AE45" s="92" t="s">
        <v>750</v>
      </c>
      <c r="AH45" s="92" t="s">
        <v>715</v>
      </c>
      <c r="AI45" s="92" t="s">
        <v>715</v>
      </c>
      <c r="AJ45" s="92" t="s">
        <v>715</v>
      </c>
      <c r="AK45" s="92" t="s">
        <v>715</v>
      </c>
      <c r="AL45" s="92" t="s">
        <v>715</v>
      </c>
      <c r="AM45" s="92" t="s">
        <v>715</v>
      </c>
      <c r="AN45" s="92" t="s">
        <v>715</v>
      </c>
    </row>
    <row r="46" spans="2:40" s="92" customFormat="1">
      <c r="B46" s="92" t="s">
        <v>758</v>
      </c>
      <c r="D46" s="92" t="s">
        <v>239</v>
      </c>
      <c r="F46" s="92" t="s">
        <v>759</v>
      </c>
      <c r="G46" s="92" t="s">
        <v>843</v>
      </c>
      <c r="J46" s="92" t="s">
        <v>844</v>
      </c>
      <c r="K46" s="105">
        <v>45657</v>
      </c>
      <c r="L46" s="92" t="s">
        <v>762</v>
      </c>
      <c r="M46" s="92" t="s">
        <v>763</v>
      </c>
      <c r="N46" s="92" t="s">
        <v>712</v>
      </c>
      <c r="O46" s="92" t="s">
        <v>842</v>
      </c>
      <c r="P46" s="92" t="s">
        <v>787</v>
      </c>
      <c r="Q46" s="92" t="s">
        <v>715</v>
      </c>
      <c r="R46" s="92" t="s">
        <v>777</v>
      </c>
      <c r="S46" s="92" t="s">
        <v>778</v>
      </c>
      <c r="X46" s="92" t="s">
        <v>767</v>
      </c>
      <c r="Y46" s="92" t="s">
        <v>715</v>
      </c>
      <c r="Z46" s="92" t="s">
        <v>768</v>
      </c>
      <c r="AA46" s="92" t="s">
        <v>769</v>
      </c>
      <c r="AB46" s="92" t="s">
        <v>769</v>
      </c>
      <c r="AC46" s="92" t="s">
        <v>715</v>
      </c>
      <c r="AD46" s="92" t="s">
        <v>770</v>
      </c>
      <c r="AE46" s="92" t="s">
        <v>750</v>
      </c>
      <c r="AH46" s="92" t="s">
        <v>715</v>
      </c>
      <c r="AI46" s="92" t="s">
        <v>715</v>
      </c>
      <c r="AJ46" s="92" t="s">
        <v>715</v>
      </c>
      <c r="AK46" s="92" t="s">
        <v>715</v>
      </c>
      <c r="AL46" s="92" t="s">
        <v>715</v>
      </c>
      <c r="AM46" s="92" t="s">
        <v>715</v>
      </c>
      <c r="AN46" s="92" t="s">
        <v>715</v>
      </c>
    </row>
    <row r="47" spans="2:40" hidden="1">
      <c r="B47" t="s">
        <v>758</v>
      </c>
      <c r="E47" t="s">
        <v>747</v>
      </c>
      <c r="F47" t="s">
        <v>759</v>
      </c>
      <c r="G47" t="s">
        <v>845</v>
      </c>
      <c r="J47" t="s">
        <v>761</v>
      </c>
      <c r="K47" s="93">
        <v>45838</v>
      </c>
      <c r="L47" t="s">
        <v>846</v>
      </c>
      <c r="M47" t="s">
        <v>847</v>
      </c>
      <c r="N47" t="s">
        <v>733</v>
      </c>
      <c r="O47" t="s">
        <v>764</v>
      </c>
      <c r="P47" t="s">
        <v>765</v>
      </c>
      <c r="Q47" t="s">
        <v>715</v>
      </c>
      <c r="R47" t="s">
        <v>777</v>
      </c>
      <c r="S47" t="s">
        <v>778</v>
      </c>
      <c r="X47" t="s">
        <v>715</v>
      </c>
      <c r="Y47" t="s">
        <v>715</v>
      </c>
      <c r="Z47" t="s">
        <v>715</v>
      </c>
      <c r="AA47" t="s">
        <v>769</v>
      </c>
      <c r="AB47" t="s">
        <v>769</v>
      </c>
      <c r="AC47" t="s">
        <v>715</v>
      </c>
      <c r="AD47" t="s">
        <v>770</v>
      </c>
      <c r="AE47" t="s">
        <v>750</v>
      </c>
      <c r="AF47" t="s">
        <v>716</v>
      </c>
      <c r="AG47" t="s">
        <v>715</v>
      </c>
      <c r="AH47" t="s">
        <v>715</v>
      </c>
      <c r="AI47" t="s">
        <v>715</v>
      </c>
      <c r="AJ47" t="s">
        <v>715</v>
      </c>
      <c r="AK47" t="s">
        <v>715</v>
      </c>
      <c r="AL47" t="s">
        <v>715</v>
      </c>
      <c r="AM47" t="s">
        <v>715</v>
      </c>
      <c r="AN47" t="s">
        <v>715</v>
      </c>
    </row>
    <row r="48" spans="2:40" s="46" customFormat="1">
      <c r="B48" s="46" t="s">
        <v>758</v>
      </c>
      <c r="C48" s="46" t="s">
        <v>13</v>
      </c>
      <c r="D48" s="46" t="s">
        <v>848</v>
      </c>
      <c r="E48" s="46" t="s">
        <v>726</v>
      </c>
      <c r="F48" s="46" t="s">
        <v>759</v>
      </c>
      <c r="G48" s="46" t="s">
        <v>849</v>
      </c>
      <c r="J48" s="46">
        <v>250362</v>
      </c>
      <c r="K48" s="104">
        <v>45838</v>
      </c>
      <c r="L48" s="46" t="s">
        <v>846</v>
      </c>
      <c r="M48" s="46" t="s">
        <v>847</v>
      </c>
      <c r="N48" s="46" t="s">
        <v>733</v>
      </c>
      <c r="O48" s="46" t="s">
        <v>775</v>
      </c>
      <c r="P48" s="46" t="s">
        <v>787</v>
      </c>
      <c r="Q48" s="46" t="s">
        <v>715</v>
      </c>
      <c r="R48" s="46" t="s">
        <v>777</v>
      </c>
      <c r="S48" s="46" t="s">
        <v>778</v>
      </c>
      <c r="X48" s="46" t="s">
        <v>715</v>
      </c>
      <c r="Y48" s="46" t="s">
        <v>715</v>
      </c>
      <c r="Z48" s="46" t="s">
        <v>715</v>
      </c>
      <c r="AA48" s="46" t="s">
        <v>769</v>
      </c>
      <c r="AB48" s="46" t="s">
        <v>769</v>
      </c>
      <c r="AC48" s="46" t="s">
        <v>715</v>
      </c>
      <c r="AD48" s="46" t="s">
        <v>770</v>
      </c>
      <c r="AE48" s="46" t="s">
        <v>750</v>
      </c>
      <c r="AF48" s="46" t="s">
        <v>715</v>
      </c>
      <c r="AG48" s="46" t="s">
        <v>715</v>
      </c>
      <c r="AH48" s="46" t="s">
        <v>715</v>
      </c>
      <c r="AI48" s="46" t="s">
        <v>715</v>
      </c>
      <c r="AJ48" s="46" t="s">
        <v>715</v>
      </c>
      <c r="AK48" s="46" t="s">
        <v>715</v>
      </c>
      <c r="AL48" s="46" t="s">
        <v>715</v>
      </c>
      <c r="AM48" s="46" t="s">
        <v>715</v>
      </c>
      <c r="AN48" s="46" t="s">
        <v>716</v>
      </c>
    </row>
    <row r="49" spans="2:40" hidden="1">
      <c r="B49" t="s">
        <v>758</v>
      </c>
      <c r="E49" t="s">
        <v>747</v>
      </c>
      <c r="F49" t="s">
        <v>759</v>
      </c>
      <c r="G49" t="s">
        <v>850</v>
      </c>
      <c r="J49">
        <v>11842</v>
      </c>
      <c r="K49" s="93">
        <v>45838</v>
      </c>
      <c r="L49" t="s">
        <v>846</v>
      </c>
      <c r="M49" t="s">
        <v>847</v>
      </c>
      <c r="N49" t="s">
        <v>733</v>
      </c>
      <c r="O49" t="s">
        <v>782</v>
      </c>
      <c r="P49" t="s">
        <v>783</v>
      </c>
      <c r="Q49" t="s">
        <v>715</v>
      </c>
      <c r="R49" t="s">
        <v>777</v>
      </c>
      <c r="S49" t="s">
        <v>778</v>
      </c>
      <c r="X49" t="s">
        <v>715</v>
      </c>
      <c r="Y49" t="s">
        <v>715</v>
      </c>
      <c r="Z49" t="s">
        <v>715</v>
      </c>
      <c r="AA49" t="s">
        <v>769</v>
      </c>
      <c r="AB49" t="s">
        <v>769</v>
      </c>
      <c r="AC49" t="s">
        <v>715</v>
      </c>
      <c r="AD49" t="s">
        <v>770</v>
      </c>
      <c r="AE49" t="s">
        <v>750</v>
      </c>
      <c r="AG49" t="s">
        <v>715</v>
      </c>
      <c r="AH49" t="s">
        <v>715</v>
      </c>
      <c r="AI49" t="s">
        <v>715</v>
      </c>
      <c r="AJ49" t="s">
        <v>715</v>
      </c>
      <c r="AK49" t="s">
        <v>715</v>
      </c>
      <c r="AL49" t="s">
        <v>715</v>
      </c>
      <c r="AM49" t="s">
        <v>715</v>
      </c>
      <c r="AN49" t="s">
        <v>716</v>
      </c>
    </row>
    <row r="50" spans="2:40" hidden="1">
      <c r="B50" t="s">
        <v>758</v>
      </c>
      <c r="E50" t="s">
        <v>722</v>
      </c>
      <c r="F50" t="s">
        <v>759</v>
      </c>
      <c r="G50" t="s">
        <v>851</v>
      </c>
      <c r="J50">
        <v>524006</v>
      </c>
      <c r="K50" s="93">
        <v>45838</v>
      </c>
      <c r="L50" t="s">
        <v>846</v>
      </c>
      <c r="M50" t="s">
        <v>847</v>
      </c>
      <c r="N50" t="s">
        <v>733</v>
      </c>
      <c r="O50" t="s">
        <v>792</v>
      </c>
      <c r="P50" t="s">
        <v>765</v>
      </c>
      <c r="Q50" t="s">
        <v>715</v>
      </c>
      <c r="R50" t="s">
        <v>777</v>
      </c>
      <c r="S50" t="s">
        <v>778</v>
      </c>
      <c r="X50" t="s">
        <v>715</v>
      </c>
      <c r="Y50" t="s">
        <v>715</v>
      </c>
      <c r="Z50" t="s">
        <v>715</v>
      </c>
      <c r="AA50" t="s">
        <v>769</v>
      </c>
      <c r="AB50" t="s">
        <v>769</v>
      </c>
      <c r="AC50" t="s">
        <v>715</v>
      </c>
      <c r="AD50" t="s">
        <v>770</v>
      </c>
      <c r="AE50" t="s">
        <v>750</v>
      </c>
      <c r="AF50" t="s">
        <v>715</v>
      </c>
      <c r="AG50" t="s">
        <v>715</v>
      </c>
      <c r="AH50" t="s">
        <v>716</v>
      </c>
      <c r="AI50" t="s">
        <v>715</v>
      </c>
      <c r="AJ50" t="s">
        <v>715</v>
      </c>
      <c r="AK50" t="s">
        <v>715</v>
      </c>
      <c r="AL50" t="s">
        <v>715</v>
      </c>
      <c r="AM50" t="s">
        <v>715</v>
      </c>
      <c r="AN50" t="s">
        <v>716</v>
      </c>
    </row>
    <row r="51" spans="2:40" hidden="1">
      <c r="B51" t="s">
        <v>758</v>
      </c>
      <c r="E51" t="s">
        <v>852</v>
      </c>
      <c r="F51" t="s">
        <v>759</v>
      </c>
      <c r="G51" t="s">
        <v>853</v>
      </c>
      <c r="J51" t="s">
        <v>812</v>
      </c>
      <c r="K51" s="93">
        <v>45838</v>
      </c>
      <c r="L51" t="s">
        <v>846</v>
      </c>
      <c r="M51" t="s">
        <v>847</v>
      </c>
      <c r="N51" t="s">
        <v>733</v>
      </c>
      <c r="O51" t="s">
        <v>854</v>
      </c>
      <c r="P51" t="s">
        <v>765</v>
      </c>
      <c r="Q51" t="s">
        <v>715</v>
      </c>
      <c r="R51" t="s">
        <v>777</v>
      </c>
      <c r="S51" t="s">
        <v>778</v>
      </c>
      <c r="X51" t="s">
        <v>715</v>
      </c>
      <c r="Y51" t="s">
        <v>715</v>
      </c>
      <c r="Z51" t="s">
        <v>715</v>
      </c>
      <c r="AA51" t="s">
        <v>769</v>
      </c>
      <c r="AB51" t="s">
        <v>769</v>
      </c>
      <c r="AC51" t="s">
        <v>715</v>
      </c>
      <c r="AD51" t="s">
        <v>770</v>
      </c>
      <c r="AE51" t="s">
        <v>750</v>
      </c>
      <c r="AF51" t="s">
        <v>715</v>
      </c>
      <c r="AG51" t="s">
        <v>715</v>
      </c>
      <c r="AH51" t="s">
        <v>716</v>
      </c>
      <c r="AI51" t="s">
        <v>715</v>
      </c>
      <c r="AJ51" t="s">
        <v>715</v>
      </c>
      <c r="AK51" t="s">
        <v>715</v>
      </c>
      <c r="AL51" t="s">
        <v>715</v>
      </c>
      <c r="AM51" t="s">
        <v>715</v>
      </c>
      <c r="AN51" t="s">
        <v>716</v>
      </c>
    </row>
    <row r="52" spans="2:40" s="46" customFormat="1">
      <c r="B52" s="46" t="s">
        <v>758</v>
      </c>
      <c r="C52" s="46" t="s">
        <v>13</v>
      </c>
      <c r="D52" s="46" t="s">
        <v>848</v>
      </c>
      <c r="E52" s="46" t="s">
        <v>726</v>
      </c>
      <c r="F52" s="46" t="s">
        <v>759</v>
      </c>
      <c r="G52" s="46" t="s">
        <v>855</v>
      </c>
      <c r="J52" s="46" t="s">
        <v>812</v>
      </c>
      <c r="K52" s="104">
        <v>45838</v>
      </c>
      <c r="L52" s="46" t="s">
        <v>846</v>
      </c>
      <c r="M52" s="46" t="s">
        <v>847</v>
      </c>
      <c r="N52" s="46" t="s">
        <v>733</v>
      </c>
      <c r="O52" s="46" t="s">
        <v>808</v>
      </c>
      <c r="P52" s="46" t="s">
        <v>765</v>
      </c>
      <c r="Q52" s="46" t="s">
        <v>715</v>
      </c>
      <c r="R52" s="46" t="s">
        <v>777</v>
      </c>
      <c r="S52" s="46" t="s">
        <v>778</v>
      </c>
      <c r="X52" s="46" t="s">
        <v>715</v>
      </c>
      <c r="Y52" s="46" t="s">
        <v>715</v>
      </c>
      <c r="Z52" s="46" t="s">
        <v>716</v>
      </c>
      <c r="AA52" s="46" t="s">
        <v>769</v>
      </c>
      <c r="AB52" s="46" t="s">
        <v>769</v>
      </c>
      <c r="AC52" s="46" t="s">
        <v>715</v>
      </c>
      <c r="AD52" s="46" t="s">
        <v>815</v>
      </c>
      <c r="AE52" s="46" t="s">
        <v>750</v>
      </c>
      <c r="AF52" s="46" t="s">
        <v>715</v>
      </c>
      <c r="AG52" s="46" t="s">
        <v>715</v>
      </c>
      <c r="AH52" s="46" t="s">
        <v>716</v>
      </c>
      <c r="AI52" s="46" t="s">
        <v>715</v>
      </c>
      <c r="AJ52" s="46" t="s">
        <v>856</v>
      </c>
      <c r="AK52" s="46" t="s">
        <v>715</v>
      </c>
      <c r="AL52" s="46" t="s">
        <v>715</v>
      </c>
      <c r="AM52" s="46" t="s">
        <v>715</v>
      </c>
      <c r="AN52" s="46" t="s">
        <v>716</v>
      </c>
    </row>
    <row r="53" spans="2:40" hidden="1">
      <c r="B53" t="s">
        <v>758</v>
      </c>
      <c r="E53" t="s">
        <v>722</v>
      </c>
      <c r="F53" t="s">
        <v>759</v>
      </c>
      <c r="G53" t="s">
        <v>857</v>
      </c>
      <c r="J53" t="s">
        <v>807</v>
      </c>
      <c r="K53" s="93">
        <v>45838</v>
      </c>
      <c r="L53" t="s">
        <v>846</v>
      </c>
      <c r="M53" t="s">
        <v>847</v>
      </c>
      <c r="N53" t="s">
        <v>733</v>
      </c>
      <c r="O53" t="s">
        <v>808</v>
      </c>
      <c r="P53" t="s">
        <v>765</v>
      </c>
      <c r="Q53" t="s">
        <v>715</v>
      </c>
      <c r="R53" t="s">
        <v>777</v>
      </c>
      <c r="S53" t="s">
        <v>778</v>
      </c>
      <c r="X53" t="s">
        <v>715</v>
      </c>
      <c r="Y53" t="s">
        <v>715</v>
      </c>
      <c r="Z53" t="s">
        <v>715</v>
      </c>
      <c r="AA53" t="s">
        <v>769</v>
      </c>
      <c r="AB53" t="s">
        <v>769</v>
      </c>
      <c r="AC53" t="s">
        <v>715</v>
      </c>
      <c r="AD53" t="s">
        <v>770</v>
      </c>
      <c r="AE53" t="s">
        <v>750</v>
      </c>
      <c r="AF53" t="s">
        <v>715</v>
      </c>
      <c r="AG53" t="s">
        <v>715</v>
      </c>
      <c r="AH53" t="s">
        <v>716</v>
      </c>
      <c r="AI53" t="s">
        <v>715</v>
      </c>
      <c r="AJ53" t="s">
        <v>715</v>
      </c>
      <c r="AK53" t="s">
        <v>715</v>
      </c>
      <c r="AL53" t="s">
        <v>715</v>
      </c>
      <c r="AM53" t="s">
        <v>715</v>
      </c>
      <c r="AN53" t="s">
        <v>716</v>
      </c>
    </row>
    <row r="54" spans="2:40" hidden="1">
      <c r="B54" t="s">
        <v>758</v>
      </c>
      <c r="E54" t="s">
        <v>722</v>
      </c>
      <c r="F54" t="s">
        <v>759</v>
      </c>
      <c r="G54" t="s">
        <v>858</v>
      </c>
      <c r="I54" t="s">
        <v>819</v>
      </c>
      <c r="J54" t="s">
        <v>820</v>
      </c>
      <c r="K54" s="93">
        <v>45838</v>
      </c>
      <c r="L54" t="s">
        <v>859</v>
      </c>
      <c r="M54" t="s">
        <v>804</v>
      </c>
      <c r="N54" t="s">
        <v>733</v>
      </c>
      <c r="O54" t="s">
        <v>808</v>
      </c>
      <c r="P54" t="s">
        <v>783</v>
      </c>
      <c r="Q54" t="s">
        <v>715</v>
      </c>
      <c r="R54" t="s">
        <v>777</v>
      </c>
      <c r="S54" t="s">
        <v>778</v>
      </c>
      <c r="X54" t="s">
        <v>715</v>
      </c>
      <c r="Y54" t="s">
        <v>715</v>
      </c>
      <c r="Z54" t="s">
        <v>715</v>
      </c>
      <c r="AA54" t="s">
        <v>769</v>
      </c>
      <c r="AB54" t="s">
        <v>769</v>
      </c>
      <c r="AC54" t="s">
        <v>715</v>
      </c>
      <c r="AD54" t="s">
        <v>770</v>
      </c>
      <c r="AE54" t="s">
        <v>750</v>
      </c>
      <c r="AF54" t="s">
        <v>715</v>
      </c>
      <c r="AG54" t="s">
        <v>716</v>
      </c>
      <c r="AH54" t="s">
        <v>715</v>
      </c>
      <c r="AI54" t="s">
        <v>715</v>
      </c>
      <c r="AJ54" t="s">
        <v>715</v>
      </c>
      <c r="AK54" t="s">
        <v>715</v>
      </c>
      <c r="AL54" t="s">
        <v>715</v>
      </c>
      <c r="AM54" t="s">
        <v>715</v>
      </c>
      <c r="AN54" t="s">
        <v>716</v>
      </c>
    </row>
    <row r="55" spans="2:40" s="92" customFormat="1">
      <c r="B55" s="92" t="s">
        <v>758</v>
      </c>
      <c r="C55" s="92" t="s">
        <v>860</v>
      </c>
      <c r="D55" s="92" t="s">
        <v>848</v>
      </c>
      <c r="E55" s="92" t="s">
        <v>726</v>
      </c>
      <c r="F55" s="92" t="s">
        <v>759</v>
      </c>
      <c r="G55" s="92" t="s">
        <v>861</v>
      </c>
      <c r="J55" s="92">
        <v>730090</v>
      </c>
      <c r="K55" s="105">
        <v>45838</v>
      </c>
      <c r="L55" s="92" t="s">
        <v>846</v>
      </c>
      <c r="M55" s="92" t="s">
        <v>847</v>
      </c>
      <c r="N55" s="92" t="s">
        <v>733</v>
      </c>
      <c r="O55" s="92" t="s">
        <v>824</v>
      </c>
      <c r="P55" s="92" t="s">
        <v>765</v>
      </c>
      <c r="Q55" s="92" t="s">
        <v>715</v>
      </c>
      <c r="R55" s="92" t="s">
        <v>777</v>
      </c>
      <c r="S55" s="92" t="s">
        <v>778</v>
      </c>
      <c r="X55" s="92" t="s">
        <v>715</v>
      </c>
      <c r="Y55" s="92" t="s">
        <v>715</v>
      </c>
      <c r="Z55" s="92" t="s">
        <v>715</v>
      </c>
      <c r="AA55" s="92" t="s">
        <v>769</v>
      </c>
      <c r="AB55" s="92" t="s">
        <v>769</v>
      </c>
      <c r="AC55" s="92" t="s">
        <v>715</v>
      </c>
      <c r="AD55" s="92" t="s">
        <v>770</v>
      </c>
      <c r="AE55" s="92" t="s">
        <v>750</v>
      </c>
      <c r="AF55" s="92" t="s">
        <v>715</v>
      </c>
      <c r="AG55" s="92" t="s">
        <v>715</v>
      </c>
      <c r="AH55" s="92" t="s">
        <v>716</v>
      </c>
      <c r="AI55" s="92" t="s">
        <v>715</v>
      </c>
      <c r="AJ55" s="92" t="s">
        <v>715</v>
      </c>
      <c r="AK55" s="92" t="s">
        <v>715</v>
      </c>
      <c r="AL55" s="92" t="s">
        <v>715</v>
      </c>
      <c r="AM55" s="92" t="s">
        <v>715</v>
      </c>
      <c r="AN55" s="92" t="s">
        <v>716</v>
      </c>
    </row>
    <row r="56" spans="2:40" s="92" customFormat="1">
      <c r="B56" s="92" t="s">
        <v>758</v>
      </c>
      <c r="C56" s="92" t="s">
        <v>860</v>
      </c>
      <c r="D56" s="92" t="s">
        <v>848</v>
      </c>
      <c r="E56" s="92" t="s">
        <v>726</v>
      </c>
      <c r="F56" s="92" t="s">
        <v>759</v>
      </c>
      <c r="G56" s="92" t="s">
        <v>862</v>
      </c>
      <c r="J56" s="92">
        <v>730090</v>
      </c>
      <c r="K56" s="105">
        <v>45838</v>
      </c>
      <c r="L56" s="92" t="s">
        <v>846</v>
      </c>
      <c r="M56" s="92" t="s">
        <v>847</v>
      </c>
      <c r="N56" s="92" t="s">
        <v>733</v>
      </c>
      <c r="O56" s="92" t="s">
        <v>824</v>
      </c>
      <c r="P56" s="92" t="s">
        <v>765</v>
      </c>
      <c r="Q56" s="92" t="s">
        <v>715</v>
      </c>
      <c r="R56" s="92" t="s">
        <v>777</v>
      </c>
      <c r="S56" s="92" t="s">
        <v>778</v>
      </c>
      <c r="X56" s="92" t="s">
        <v>715</v>
      </c>
      <c r="Y56" s="92" t="s">
        <v>715</v>
      </c>
      <c r="Z56" s="92" t="s">
        <v>716</v>
      </c>
      <c r="AA56" s="92" t="s">
        <v>769</v>
      </c>
      <c r="AB56" s="92" t="s">
        <v>769</v>
      </c>
      <c r="AC56" s="92" t="s">
        <v>715</v>
      </c>
      <c r="AD56" s="92" t="s">
        <v>815</v>
      </c>
      <c r="AE56" s="92" t="s">
        <v>750</v>
      </c>
      <c r="AF56" s="92" t="s">
        <v>715</v>
      </c>
      <c r="AG56" s="92" t="s">
        <v>715</v>
      </c>
      <c r="AH56" s="92" t="s">
        <v>716</v>
      </c>
      <c r="AI56" s="92" t="s">
        <v>715</v>
      </c>
      <c r="AJ56" s="92" t="s">
        <v>856</v>
      </c>
      <c r="AK56" s="92" t="s">
        <v>715</v>
      </c>
      <c r="AL56" s="92" t="s">
        <v>715</v>
      </c>
      <c r="AM56" s="92" t="s">
        <v>715</v>
      </c>
      <c r="AN56" s="92" t="s">
        <v>716</v>
      </c>
    </row>
    <row r="57" spans="2:40" s="92" customFormat="1">
      <c r="B57" s="92" t="s">
        <v>758</v>
      </c>
      <c r="C57" s="92" t="s">
        <v>860</v>
      </c>
      <c r="D57" s="92" t="s">
        <v>848</v>
      </c>
      <c r="E57" s="92" t="s">
        <v>726</v>
      </c>
      <c r="F57" s="92" t="s">
        <v>759</v>
      </c>
      <c r="G57" s="92" t="s">
        <v>826</v>
      </c>
      <c r="J57" s="92">
        <v>730090</v>
      </c>
      <c r="K57" s="105">
        <v>45838</v>
      </c>
      <c r="L57" s="92" t="s">
        <v>846</v>
      </c>
      <c r="M57" s="92" t="s">
        <v>847</v>
      </c>
      <c r="N57" s="92" t="s">
        <v>733</v>
      </c>
      <c r="O57" s="92" t="s">
        <v>824</v>
      </c>
      <c r="P57" s="92" t="s">
        <v>765</v>
      </c>
      <c r="Q57" s="92" t="s">
        <v>715</v>
      </c>
      <c r="R57" s="92" t="s">
        <v>777</v>
      </c>
      <c r="S57" s="92" t="s">
        <v>778</v>
      </c>
      <c r="X57" s="92" t="s">
        <v>715</v>
      </c>
      <c r="Y57" s="92" t="s">
        <v>715</v>
      </c>
      <c r="Z57" s="92" t="s">
        <v>715</v>
      </c>
      <c r="AA57" s="92" t="s">
        <v>769</v>
      </c>
      <c r="AB57" s="92" t="s">
        <v>769</v>
      </c>
      <c r="AC57" s="92" t="s">
        <v>715</v>
      </c>
      <c r="AD57" s="92" t="s">
        <v>770</v>
      </c>
      <c r="AE57" s="92" t="s">
        <v>735</v>
      </c>
      <c r="AF57" s="92" t="s">
        <v>715</v>
      </c>
      <c r="AG57" s="92" t="s">
        <v>715</v>
      </c>
      <c r="AH57" s="92" t="s">
        <v>716</v>
      </c>
      <c r="AI57" s="92" t="s">
        <v>715</v>
      </c>
      <c r="AJ57" s="92" t="s">
        <v>715</v>
      </c>
      <c r="AK57" s="92" t="s">
        <v>715</v>
      </c>
      <c r="AL57" s="92" t="s">
        <v>715</v>
      </c>
      <c r="AM57" s="92" t="s">
        <v>715</v>
      </c>
      <c r="AN57" s="92" t="s">
        <v>716</v>
      </c>
    </row>
    <row r="58" spans="2:40" hidden="1">
      <c r="B58" t="s">
        <v>863</v>
      </c>
      <c r="E58" t="s">
        <v>852</v>
      </c>
      <c r="F58" t="s">
        <v>864</v>
      </c>
      <c r="G58" t="s">
        <v>865</v>
      </c>
      <c r="H58" t="s">
        <v>778</v>
      </c>
      <c r="I58" t="s">
        <v>866</v>
      </c>
      <c r="J58" t="s">
        <v>867</v>
      </c>
      <c r="K58" s="93">
        <v>45657</v>
      </c>
      <c r="L58" t="s">
        <v>868</v>
      </c>
      <c r="M58" t="s">
        <v>869</v>
      </c>
      <c r="N58" t="s">
        <v>712</v>
      </c>
      <c r="O58" t="s">
        <v>870</v>
      </c>
      <c r="R58" t="s">
        <v>871</v>
      </c>
      <c r="Y58" t="s">
        <v>716</v>
      </c>
      <c r="AA58" t="s">
        <v>716</v>
      </c>
      <c r="AC58" t="s">
        <v>872</v>
      </c>
      <c r="AD58" t="s">
        <v>864</v>
      </c>
      <c r="AE58" t="s">
        <v>750</v>
      </c>
      <c r="AI58" t="s">
        <v>716</v>
      </c>
      <c r="AM58" t="s">
        <v>778</v>
      </c>
      <c r="AN58" t="s">
        <v>778</v>
      </c>
    </row>
    <row r="59" spans="2:40">
      <c r="B59" t="s">
        <v>863</v>
      </c>
      <c r="E59" t="s">
        <v>726</v>
      </c>
      <c r="F59" t="s">
        <v>864</v>
      </c>
      <c r="G59" t="s">
        <v>873</v>
      </c>
      <c r="H59" t="s">
        <v>778</v>
      </c>
      <c r="I59">
        <v>357904</v>
      </c>
      <c r="J59" t="s">
        <v>874</v>
      </c>
      <c r="K59" s="93">
        <v>45657</v>
      </c>
      <c r="L59" t="s">
        <v>868</v>
      </c>
      <c r="M59" t="s">
        <v>869</v>
      </c>
      <c r="N59" t="s">
        <v>712</v>
      </c>
      <c r="O59" t="s">
        <v>870</v>
      </c>
      <c r="R59" t="s">
        <v>871</v>
      </c>
      <c r="Z59" t="s">
        <v>716</v>
      </c>
      <c r="AA59" t="s">
        <v>716</v>
      </c>
      <c r="AC59" t="s">
        <v>872</v>
      </c>
      <c r="AD59" t="s">
        <v>864</v>
      </c>
      <c r="AE59" t="s">
        <v>743</v>
      </c>
      <c r="AM59" t="s">
        <v>778</v>
      </c>
      <c r="AN59" t="s">
        <v>778</v>
      </c>
    </row>
    <row r="60" spans="2:40">
      <c r="B60" t="s">
        <v>863</v>
      </c>
      <c r="E60" t="s">
        <v>726</v>
      </c>
      <c r="F60" t="s">
        <v>864</v>
      </c>
      <c r="G60" t="s">
        <v>875</v>
      </c>
      <c r="H60" t="s">
        <v>778</v>
      </c>
      <c r="I60" t="s">
        <v>876</v>
      </c>
      <c r="J60" t="s">
        <v>877</v>
      </c>
      <c r="K60" s="93">
        <v>45808</v>
      </c>
      <c r="L60" t="s">
        <v>878</v>
      </c>
      <c r="M60" t="s">
        <v>879</v>
      </c>
      <c r="N60" t="s">
        <v>733</v>
      </c>
      <c r="O60" t="s">
        <v>880</v>
      </c>
      <c r="R60" t="s">
        <v>871</v>
      </c>
      <c r="X60" t="s">
        <v>716</v>
      </c>
      <c r="AB60" t="s">
        <v>881</v>
      </c>
      <c r="AC60" t="s">
        <v>882</v>
      </c>
      <c r="AD60" t="s">
        <v>864</v>
      </c>
      <c r="AE60" t="s">
        <v>750</v>
      </c>
      <c r="AM60" t="s">
        <v>778</v>
      </c>
      <c r="AN60" t="s">
        <v>778</v>
      </c>
    </row>
    <row r="61" spans="2:40">
      <c r="B61" t="s">
        <v>863</v>
      </c>
      <c r="E61" t="s">
        <v>726</v>
      </c>
      <c r="F61" t="s">
        <v>864</v>
      </c>
      <c r="G61" t="s">
        <v>865</v>
      </c>
      <c r="H61" t="s">
        <v>778</v>
      </c>
      <c r="I61" t="s">
        <v>876</v>
      </c>
      <c r="J61" t="s">
        <v>883</v>
      </c>
      <c r="K61" s="93">
        <v>45991</v>
      </c>
      <c r="L61" t="s">
        <v>884</v>
      </c>
      <c r="M61" t="s">
        <v>869</v>
      </c>
      <c r="N61" t="s">
        <v>712</v>
      </c>
      <c r="O61" t="s">
        <v>880</v>
      </c>
      <c r="R61" t="s">
        <v>885</v>
      </c>
      <c r="X61" t="s">
        <v>716</v>
      </c>
      <c r="AB61" t="s">
        <v>881</v>
      </c>
      <c r="AC61" t="s">
        <v>882</v>
      </c>
      <c r="AD61" t="s">
        <v>864</v>
      </c>
      <c r="AE61" t="s">
        <v>735</v>
      </c>
      <c r="AM61" t="s">
        <v>778</v>
      </c>
      <c r="AN61" t="s">
        <v>778</v>
      </c>
    </row>
    <row r="62" spans="2:40">
      <c r="B62" t="s">
        <v>863</v>
      </c>
      <c r="E62" t="s">
        <v>726</v>
      </c>
      <c r="F62" t="s">
        <v>864</v>
      </c>
      <c r="G62" t="s">
        <v>886</v>
      </c>
      <c r="H62" t="s">
        <v>778</v>
      </c>
      <c r="I62" t="s">
        <v>887</v>
      </c>
      <c r="J62" t="s">
        <v>888</v>
      </c>
      <c r="K62" s="93">
        <v>45657</v>
      </c>
      <c r="L62" t="s">
        <v>878</v>
      </c>
      <c r="M62" t="s">
        <v>879</v>
      </c>
      <c r="N62" t="s">
        <v>733</v>
      </c>
      <c r="O62" t="s">
        <v>870</v>
      </c>
      <c r="R62" t="s">
        <v>871</v>
      </c>
      <c r="Z62" t="s">
        <v>716</v>
      </c>
      <c r="AA62" t="s">
        <v>716</v>
      </c>
      <c r="AC62" t="s">
        <v>872</v>
      </c>
      <c r="AD62" t="s">
        <v>864</v>
      </c>
      <c r="AE62" t="s">
        <v>750</v>
      </c>
      <c r="AM62" t="s">
        <v>778</v>
      </c>
      <c r="AN62" t="s">
        <v>778</v>
      </c>
    </row>
    <row r="63" spans="2:40">
      <c r="B63" t="s">
        <v>863</v>
      </c>
      <c r="E63" t="s">
        <v>889</v>
      </c>
      <c r="F63" t="s">
        <v>864</v>
      </c>
      <c r="G63" t="s">
        <v>890</v>
      </c>
      <c r="H63" t="s">
        <v>778</v>
      </c>
      <c r="I63">
        <v>8</v>
      </c>
      <c r="J63" t="s">
        <v>891</v>
      </c>
      <c r="K63" s="93">
        <v>45961</v>
      </c>
      <c r="L63" t="s">
        <v>868</v>
      </c>
      <c r="M63" t="s">
        <v>869</v>
      </c>
      <c r="N63" t="s">
        <v>712</v>
      </c>
      <c r="O63" t="s">
        <v>892</v>
      </c>
      <c r="R63" t="s">
        <v>871</v>
      </c>
      <c r="X63" t="s">
        <v>716</v>
      </c>
      <c r="AA63" t="s">
        <v>716</v>
      </c>
      <c r="AC63" t="s">
        <v>872</v>
      </c>
      <c r="AD63" t="s">
        <v>864</v>
      </c>
      <c r="AE63" t="s">
        <v>750</v>
      </c>
      <c r="AM63" t="s">
        <v>778</v>
      </c>
      <c r="AN63" t="s">
        <v>778</v>
      </c>
    </row>
    <row r="64" spans="2:40" s="88" customFormat="1">
      <c r="B64" s="88" t="s">
        <v>863</v>
      </c>
      <c r="E64" s="88" t="s">
        <v>726</v>
      </c>
      <c r="F64" s="88" t="s">
        <v>864</v>
      </c>
      <c r="G64" s="88" t="s">
        <v>893</v>
      </c>
      <c r="H64" s="88" t="s">
        <v>778</v>
      </c>
      <c r="I64" s="88">
        <v>637925</v>
      </c>
      <c r="J64" s="88">
        <v>159549</v>
      </c>
      <c r="K64" s="147">
        <v>45716</v>
      </c>
      <c r="L64" s="88" t="s">
        <v>878</v>
      </c>
      <c r="M64" s="88" t="s">
        <v>879</v>
      </c>
      <c r="N64" s="88" t="s">
        <v>733</v>
      </c>
      <c r="O64" s="88" t="s">
        <v>892</v>
      </c>
      <c r="R64" s="88" t="s">
        <v>885</v>
      </c>
      <c r="X64" s="88" t="s">
        <v>716</v>
      </c>
      <c r="AA64" s="88" t="s">
        <v>716</v>
      </c>
      <c r="AC64" s="88" t="s">
        <v>894</v>
      </c>
      <c r="AD64" s="88" t="s">
        <v>864</v>
      </c>
      <c r="AE64" s="88" t="s">
        <v>743</v>
      </c>
      <c r="AM64" s="88" t="s">
        <v>778</v>
      </c>
      <c r="AN64" s="88" t="s">
        <v>778</v>
      </c>
    </row>
    <row r="65" spans="2:40">
      <c r="B65" t="s">
        <v>895</v>
      </c>
      <c r="F65" t="s">
        <v>864</v>
      </c>
      <c r="G65" t="s">
        <v>896</v>
      </c>
      <c r="H65" t="s">
        <v>778</v>
      </c>
      <c r="K65" s="93"/>
      <c r="L65"/>
    </row>
    <row r="66" spans="2:40">
      <c r="B66" t="s">
        <v>863</v>
      </c>
      <c r="F66" t="s">
        <v>864</v>
      </c>
      <c r="G66" t="s">
        <v>897</v>
      </c>
      <c r="H66" t="s">
        <v>778</v>
      </c>
      <c r="K66" s="93"/>
      <c r="L66"/>
    </row>
    <row r="67" spans="2:40">
      <c r="B67" t="s">
        <v>863</v>
      </c>
      <c r="F67" t="s">
        <v>864</v>
      </c>
      <c r="G67" t="s">
        <v>898</v>
      </c>
      <c r="H67" t="s">
        <v>778</v>
      </c>
      <c r="I67" t="s">
        <v>899</v>
      </c>
      <c r="J67" t="s">
        <v>900</v>
      </c>
      <c r="K67" s="93">
        <v>46022</v>
      </c>
      <c r="L67" t="s">
        <v>868</v>
      </c>
      <c r="M67" t="s">
        <v>869</v>
      </c>
      <c r="N67" t="s">
        <v>712</v>
      </c>
      <c r="O67" t="s">
        <v>870</v>
      </c>
      <c r="R67" t="s">
        <v>871</v>
      </c>
      <c r="Y67" t="s">
        <v>901</v>
      </c>
      <c r="AA67" t="s">
        <v>716</v>
      </c>
      <c r="AC67" t="s">
        <v>872</v>
      </c>
      <c r="AD67" t="s">
        <v>864</v>
      </c>
      <c r="AE67" t="s">
        <v>750</v>
      </c>
      <c r="AM67" t="s">
        <v>778</v>
      </c>
      <c r="AN67" t="s">
        <v>778</v>
      </c>
    </row>
    <row r="68" spans="2:40">
      <c r="B68" t="s">
        <v>863</v>
      </c>
      <c r="F68" t="s">
        <v>864</v>
      </c>
      <c r="G68" t="s">
        <v>902</v>
      </c>
      <c r="H68" t="s">
        <v>778</v>
      </c>
      <c r="I68" t="s">
        <v>903</v>
      </c>
      <c r="J68" t="s">
        <v>904</v>
      </c>
      <c r="K68" s="93">
        <v>45838</v>
      </c>
      <c r="L68" t="s">
        <v>868</v>
      </c>
      <c r="M68" t="s">
        <v>879</v>
      </c>
      <c r="N68" t="s">
        <v>733</v>
      </c>
      <c r="O68" t="s">
        <v>870</v>
      </c>
      <c r="R68" t="s">
        <v>871</v>
      </c>
      <c r="Y68" t="s">
        <v>716</v>
      </c>
      <c r="AA68" t="s">
        <v>716</v>
      </c>
      <c r="AC68" t="s">
        <v>894</v>
      </c>
      <c r="AD68" t="s">
        <v>864</v>
      </c>
      <c r="AE68" t="s">
        <v>750</v>
      </c>
      <c r="AM68" t="s">
        <v>778</v>
      </c>
      <c r="AN68" t="s">
        <v>778</v>
      </c>
    </row>
    <row r="69" spans="2:40">
      <c r="B69" t="s">
        <v>863</v>
      </c>
      <c r="F69" t="s">
        <v>864</v>
      </c>
      <c r="G69" t="s">
        <v>905</v>
      </c>
      <c r="H69" t="s">
        <v>778</v>
      </c>
      <c r="I69" t="s">
        <v>906</v>
      </c>
      <c r="J69" t="s">
        <v>907</v>
      </c>
      <c r="K69" s="93">
        <v>45729</v>
      </c>
      <c r="L69" t="s">
        <v>908</v>
      </c>
      <c r="M69" t="s">
        <v>909</v>
      </c>
      <c r="N69" t="s">
        <v>910</v>
      </c>
      <c r="O69" t="s">
        <v>870</v>
      </c>
      <c r="R69" t="s">
        <v>871</v>
      </c>
      <c r="Z69" t="s">
        <v>716</v>
      </c>
      <c r="AA69" t="s">
        <v>716</v>
      </c>
      <c r="AC69" t="s">
        <v>872</v>
      </c>
      <c r="AD69" t="s">
        <v>864</v>
      </c>
      <c r="AE69" t="s">
        <v>750</v>
      </c>
      <c r="AM69" t="s">
        <v>778</v>
      </c>
      <c r="AN69" t="s">
        <v>778</v>
      </c>
    </row>
    <row r="70" spans="2:40">
      <c r="B70" t="s">
        <v>911</v>
      </c>
      <c r="F70" t="s">
        <v>864</v>
      </c>
      <c r="G70" t="s">
        <v>912</v>
      </c>
      <c r="H70" t="s">
        <v>778</v>
      </c>
      <c r="I70">
        <v>272676</v>
      </c>
      <c r="J70" t="s">
        <v>913</v>
      </c>
      <c r="K70" s="93">
        <v>46234</v>
      </c>
      <c r="L70" t="s">
        <v>914</v>
      </c>
      <c r="M70" t="s">
        <v>915</v>
      </c>
      <c r="N70" t="s">
        <v>712</v>
      </c>
      <c r="O70" t="s">
        <v>916</v>
      </c>
      <c r="R70" t="s">
        <v>871</v>
      </c>
      <c r="Y70" t="s">
        <v>716</v>
      </c>
      <c r="AC70" t="s">
        <v>882</v>
      </c>
      <c r="AD70" t="s">
        <v>864</v>
      </c>
      <c r="AE70" t="s">
        <v>750</v>
      </c>
      <c r="AM70" t="s">
        <v>778</v>
      </c>
      <c r="AN70" t="s">
        <v>778</v>
      </c>
    </row>
    <row r="71" spans="2:40">
      <c r="B71" t="s">
        <v>863</v>
      </c>
      <c r="F71" t="s">
        <v>864</v>
      </c>
      <c r="G71" t="s">
        <v>917</v>
      </c>
      <c r="H71" t="s">
        <v>778</v>
      </c>
      <c r="I71">
        <v>272676</v>
      </c>
      <c r="J71" t="s">
        <v>918</v>
      </c>
      <c r="K71" s="93">
        <v>45869</v>
      </c>
      <c r="L71" t="s">
        <v>914</v>
      </c>
      <c r="M71" t="s">
        <v>915</v>
      </c>
      <c r="N71" t="s">
        <v>712</v>
      </c>
      <c r="O71" t="s">
        <v>916</v>
      </c>
      <c r="R71" t="s">
        <v>871</v>
      </c>
      <c r="V71" t="s">
        <v>716</v>
      </c>
      <c r="Z71" t="s">
        <v>716</v>
      </c>
      <c r="AA71" t="s">
        <v>716</v>
      </c>
      <c r="AC71" t="s">
        <v>882</v>
      </c>
      <c r="AD71" t="s">
        <v>864</v>
      </c>
      <c r="AE71" t="s">
        <v>750</v>
      </c>
      <c r="AM71" t="s">
        <v>778</v>
      </c>
      <c r="AN71" t="s">
        <v>778</v>
      </c>
    </row>
    <row r="72" spans="2:40" hidden="1">
      <c r="B72" t="s">
        <v>863</v>
      </c>
      <c r="E72" t="s">
        <v>722</v>
      </c>
      <c r="F72" t="s">
        <v>864</v>
      </c>
      <c r="G72" t="s">
        <v>919</v>
      </c>
      <c r="H72" t="s">
        <v>778</v>
      </c>
      <c r="I72">
        <v>272676</v>
      </c>
      <c r="J72" t="s">
        <v>913</v>
      </c>
      <c r="K72" s="93">
        <v>44408</v>
      </c>
      <c r="L72" t="s">
        <v>914</v>
      </c>
      <c r="M72" t="s">
        <v>915</v>
      </c>
      <c r="N72" t="s">
        <v>712</v>
      </c>
      <c r="O72" t="s">
        <v>916</v>
      </c>
      <c r="R72" t="s">
        <v>871</v>
      </c>
      <c r="X72" t="s">
        <v>716</v>
      </c>
      <c r="AA72" t="s">
        <v>716</v>
      </c>
      <c r="AC72" t="s">
        <v>882</v>
      </c>
      <c r="AD72" t="s">
        <v>864</v>
      </c>
      <c r="AE72" t="s">
        <v>750</v>
      </c>
      <c r="AM72" t="s">
        <v>778</v>
      </c>
      <c r="AN72" t="s">
        <v>778</v>
      </c>
    </row>
    <row r="73" spans="2:40" hidden="1">
      <c r="B73" t="s">
        <v>863</v>
      </c>
      <c r="E73" t="s">
        <v>722</v>
      </c>
      <c r="F73" t="s">
        <v>864</v>
      </c>
      <c r="G73" t="s">
        <v>920</v>
      </c>
      <c r="H73" t="s">
        <v>778</v>
      </c>
      <c r="I73">
        <v>272676</v>
      </c>
      <c r="J73" t="s">
        <v>913</v>
      </c>
      <c r="K73" s="93">
        <v>46053</v>
      </c>
      <c r="L73" t="s">
        <v>921</v>
      </c>
      <c r="M73" t="s">
        <v>922</v>
      </c>
      <c r="N73" t="s">
        <v>733</v>
      </c>
      <c r="O73" t="s">
        <v>916</v>
      </c>
      <c r="R73" t="s">
        <v>871</v>
      </c>
      <c r="Y73" t="s">
        <v>716</v>
      </c>
      <c r="AB73" t="s">
        <v>923</v>
      </c>
      <c r="AC73" t="s">
        <v>882</v>
      </c>
      <c r="AD73" t="s">
        <v>864</v>
      </c>
      <c r="AE73" t="s">
        <v>750</v>
      </c>
      <c r="AM73" t="s">
        <v>778</v>
      </c>
      <c r="AN73" t="s">
        <v>778</v>
      </c>
    </row>
    <row r="74" spans="2:40">
      <c r="B74" t="s">
        <v>863</v>
      </c>
      <c r="F74" t="s">
        <v>864</v>
      </c>
      <c r="G74" t="s">
        <v>924</v>
      </c>
      <c r="H74" t="s">
        <v>778</v>
      </c>
      <c r="I74" t="s">
        <v>925</v>
      </c>
      <c r="J74" t="s">
        <v>926</v>
      </c>
      <c r="K74" s="93">
        <v>45838</v>
      </c>
      <c r="L74" t="s">
        <v>914</v>
      </c>
      <c r="M74" t="s">
        <v>915</v>
      </c>
      <c r="N74" t="s">
        <v>712</v>
      </c>
      <c r="O74" t="s">
        <v>916</v>
      </c>
      <c r="R74" t="s">
        <v>871</v>
      </c>
      <c r="Z74" t="s">
        <v>716</v>
      </c>
      <c r="AA74" t="s">
        <v>716</v>
      </c>
      <c r="AC74" t="s">
        <v>882</v>
      </c>
      <c r="AD74" t="s">
        <v>864</v>
      </c>
      <c r="AE74" t="s">
        <v>750</v>
      </c>
      <c r="AM74" t="s">
        <v>778</v>
      </c>
      <c r="AN74" t="s">
        <v>778</v>
      </c>
    </row>
    <row r="75" spans="2:40" s="88" customFormat="1">
      <c r="B75" s="88" t="s">
        <v>863</v>
      </c>
      <c r="F75" s="88" t="s">
        <v>864</v>
      </c>
      <c r="G75" s="88" t="s">
        <v>927</v>
      </c>
      <c r="H75" s="88" t="s">
        <v>778</v>
      </c>
      <c r="I75" s="88" t="s">
        <v>928</v>
      </c>
      <c r="J75" s="88" t="s">
        <v>929</v>
      </c>
      <c r="K75" s="147">
        <v>45688</v>
      </c>
      <c r="L75" s="88" t="s">
        <v>921</v>
      </c>
      <c r="M75" s="88" t="s">
        <v>915</v>
      </c>
      <c r="N75" s="88" t="s">
        <v>733</v>
      </c>
      <c r="O75" s="88" t="s">
        <v>916</v>
      </c>
      <c r="R75" s="88" t="s">
        <v>871</v>
      </c>
      <c r="AC75" s="88" t="s">
        <v>882</v>
      </c>
      <c r="AE75" s="88" t="s">
        <v>750</v>
      </c>
      <c r="AM75" s="88" t="s">
        <v>778</v>
      </c>
      <c r="AN75" s="88" t="s">
        <v>778</v>
      </c>
    </row>
    <row r="76" spans="2:40">
      <c r="B76" t="s">
        <v>863</v>
      </c>
      <c r="F76" t="s">
        <v>864</v>
      </c>
      <c r="G76" t="s">
        <v>930</v>
      </c>
      <c r="H76" t="s">
        <v>778</v>
      </c>
      <c r="I76" t="s">
        <v>925</v>
      </c>
      <c r="J76" t="s">
        <v>931</v>
      </c>
      <c r="K76" s="93">
        <v>45583</v>
      </c>
      <c r="L76" t="s">
        <v>932</v>
      </c>
      <c r="M76" t="s">
        <v>933</v>
      </c>
      <c r="N76" t="s">
        <v>910</v>
      </c>
      <c r="O76" t="s">
        <v>916</v>
      </c>
      <c r="R76" t="s">
        <v>871</v>
      </c>
      <c r="Z76" t="s">
        <v>716</v>
      </c>
      <c r="AA76" t="s">
        <v>716</v>
      </c>
      <c r="AC76" t="s">
        <v>882</v>
      </c>
      <c r="AD76" t="s">
        <v>864</v>
      </c>
      <c r="AE76" t="s">
        <v>750</v>
      </c>
      <c r="AM76" t="s">
        <v>778</v>
      </c>
      <c r="AN76" t="s">
        <v>778</v>
      </c>
    </row>
    <row r="77" spans="2:40">
      <c r="B77" t="s">
        <v>863</v>
      </c>
      <c r="F77" t="s">
        <v>864</v>
      </c>
      <c r="G77" t="s">
        <v>934</v>
      </c>
      <c r="H77" t="s">
        <v>778</v>
      </c>
      <c r="I77" t="s">
        <v>935</v>
      </c>
      <c r="J77" t="s">
        <v>936</v>
      </c>
      <c r="K77" s="93">
        <v>46022</v>
      </c>
      <c r="L77" t="s">
        <v>868</v>
      </c>
      <c r="M77" t="s">
        <v>869</v>
      </c>
      <c r="N77" t="s">
        <v>712</v>
      </c>
      <c r="O77" t="s">
        <v>892</v>
      </c>
      <c r="R77" t="s">
        <v>885</v>
      </c>
      <c r="X77" t="s">
        <v>716</v>
      </c>
      <c r="AB77" t="s">
        <v>937</v>
      </c>
      <c r="AC77" t="s">
        <v>872</v>
      </c>
      <c r="AD77" t="s">
        <v>864</v>
      </c>
      <c r="AE77" t="s">
        <v>743</v>
      </c>
      <c r="AM77" t="s">
        <v>778</v>
      </c>
      <c r="AN77" t="s">
        <v>778</v>
      </c>
    </row>
    <row r="78" spans="2:40">
      <c r="B78" t="s">
        <v>863</v>
      </c>
      <c r="F78" t="s">
        <v>864</v>
      </c>
      <c r="G78" t="s">
        <v>938</v>
      </c>
      <c r="H78" t="s">
        <v>778</v>
      </c>
      <c r="I78" t="s">
        <v>939</v>
      </c>
      <c r="J78" t="s">
        <v>940</v>
      </c>
      <c r="K78" s="93">
        <v>45471</v>
      </c>
      <c r="L78" t="s">
        <v>878</v>
      </c>
      <c r="M78" t="s">
        <v>879</v>
      </c>
      <c r="N78" t="s">
        <v>733</v>
      </c>
      <c r="O78" t="s">
        <v>870</v>
      </c>
      <c r="R78" t="s">
        <v>871</v>
      </c>
      <c r="Z78" t="s">
        <v>716</v>
      </c>
      <c r="AB78" t="s">
        <v>941</v>
      </c>
      <c r="AC78" t="s">
        <v>894</v>
      </c>
      <c r="AD78" t="s">
        <v>864</v>
      </c>
      <c r="AE78" t="s">
        <v>750</v>
      </c>
      <c r="AM78" t="s">
        <v>778</v>
      </c>
      <c r="AN78" t="s">
        <v>778</v>
      </c>
    </row>
    <row r="79" spans="2:40">
      <c r="B79" t="s">
        <v>863</v>
      </c>
      <c r="F79" t="s">
        <v>864</v>
      </c>
      <c r="G79" t="s">
        <v>938</v>
      </c>
      <c r="I79" t="s">
        <v>939</v>
      </c>
      <c r="J79" t="s">
        <v>940</v>
      </c>
      <c r="K79" s="93">
        <v>45471</v>
      </c>
      <c r="L79" t="s">
        <v>878</v>
      </c>
      <c r="M79" t="s">
        <v>879</v>
      </c>
      <c r="N79" t="s">
        <v>733</v>
      </c>
      <c r="O79" t="s">
        <v>870</v>
      </c>
      <c r="R79" t="s">
        <v>885</v>
      </c>
      <c r="Z79" t="s">
        <v>716</v>
      </c>
      <c r="AB79" t="s">
        <v>941</v>
      </c>
      <c r="AC79" t="s">
        <v>872</v>
      </c>
      <c r="AD79" t="s">
        <v>864</v>
      </c>
      <c r="AE79" t="s">
        <v>735</v>
      </c>
      <c r="AM79" t="s">
        <v>778</v>
      </c>
      <c r="AN79" t="s">
        <v>778</v>
      </c>
    </row>
    <row r="80" spans="2:40">
      <c r="B80" t="s">
        <v>911</v>
      </c>
      <c r="F80" t="s">
        <v>864</v>
      </c>
      <c r="G80" t="s">
        <v>912</v>
      </c>
      <c r="H80" t="s">
        <v>778</v>
      </c>
      <c r="I80">
        <v>272676</v>
      </c>
      <c r="J80" t="s">
        <v>913</v>
      </c>
      <c r="K80" s="93">
        <v>46234</v>
      </c>
      <c r="L80" t="s">
        <v>914</v>
      </c>
      <c r="M80" t="s">
        <v>915</v>
      </c>
      <c r="N80" t="s">
        <v>712</v>
      </c>
      <c r="O80" t="s">
        <v>916</v>
      </c>
      <c r="R80" t="s">
        <v>871</v>
      </c>
      <c r="Y80" t="s">
        <v>716</v>
      </c>
      <c r="AC80" t="s">
        <v>882</v>
      </c>
      <c r="AD80" t="s">
        <v>864</v>
      </c>
      <c r="AE80" t="s">
        <v>743</v>
      </c>
      <c r="AM80" t="s">
        <v>778</v>
      </c>
      <c r="AN80" t="s">
        <v>778</v>
      </c>
    </row>
    <row r="81" spans="2:40">
      <c r="B81" t="s">
        <v>911</v>
      </c>
      <c r="F81" t="s">
        <v>864</v>
      </c>
      <c r="G81" t="s">
        <v>912</v>
      </c>
      <c r="H81" t="s">
        <v>778</v>
      </c>
      <c r="I81">
        <v>272676</v>
      </c>
      <c r="J81" t="s">
        <v>913</v>
      </c>
      <c r="K81" s="93">
        <v>46234</v>
      </c>
      <c r="L81" t="s">
        <v>914</v>
      </c>
      <c r="M81" t="s">
        <v>915</v>
      </c>
      <c r="N81" t="s">
        <v>712</v>
      </c>
      <c r="O81" t="s">
        <v>916</v>
      </c>
      <c r="R81" t="s">
        <v>871</v>
      </c>
      <c r="Y81" t="s">
        <v>716</v>
      </c>
      <c r="AC81" t="s">
        <v>882</v>
      </c>
      <c r="AD81" t="s">
        <v>864</v>
      </c>
      <c r="AE81" t="s">
        <v>735</v>
      </c>
      <c r="AM81" t="s">
        <v>778</v>
      </c>
      <c r="AN81" t="s">
        <v>778</v>
      </c>
    </row>
    <row r="82" spans="2:40" s="46" customFormat="1">
      <c r="B82" s="46" t="s">
        <v>863</v>
      </c>
      <c r="C82" s="46" t="s">
        <v>13</v>
      </c>
      <c r="D82" s="46" t="s">
        <v>848</v>
      </c>
      <c r="E82" s="46" t="s">
        <v>726</v>
      </c>
      <c r="F82" s="46" t="s">
        <v>864</v>
      </c>
      <c r="G82" s="46" t="s">
        <v>917</v>
      </c>
      <c r="H82" s="46" t="s">
        <v>778</v>
      </c>
      <c r="I82" s="46">
        <v>272676</v>
      </c>
      <c r="J82" s="46" t="s">
        <v>918</v>
      </c>
      <c r="K82" s="104">
        <v>45869</v>
      </c>
      <c r="L82" s="46" t="s">
        <v>914</v>
      </c>
      <c r="M82" s="46" t="s">
        <v>915</v>
      </c>
      <c r="N82" s="46" t="s">
        <v>712</v>
      </c>
      <c r="O82" s="46" t="s">
        <v>916</v>
      </c>
      <c r="R82" s="46" t="s">
        <v>871</v>
      </c>
      <c r="V82" s="46" t="s">
        <v>716</v>
      </c>
      <c r="Z82" s="46" t="s">
        <v>716</v>
      </c>
      <c r="AA82" s="46" t="s">
        <v>716</v>
      </c>
      <c r="AC82" s="46" t="s">
        <v>882</v>
      </c>
      <c r="AD82" s="46" t="s">
        <v>864</v>
      </c>
      <c r="AE82" s="46" t="s">
        <v>743</v>
      </c>
      <c r="AM82" s="46" t="s">
        <v>778</v>
      </c>
      <c r="AN82" s="46" t="s">
        <v>778</v>
      </c>
    </row>
    <row r="83" spans="2:40" s="92" customFormat="1">
      <c r="B83" s="92" t="s">
        <v>863</v>
      </c>
      <c r="C83" s="92" t="s">
        <v>942</v>
      </c>
      <c r="D83" s="92" t="s">
        <v>848</v>
      </c>
      <c r="E83" s="92" t="s">
        <v>726</v>
      </c>
      <c r="F83" s="92" t="s">
        <v>864</v>
      </c>
      <c r="G83" s="92" t="s">
        <v>919</v>
      </c>
      <c r="H83" s="92" t="s">
        <v>778</v>
      </c>
      <c r="I83" s="92">
        <v>272676</v>
      </c>
      <c r="J83" s="92">
        <v>174204</v>
      </c>
      <c r="K83" s="105">
        <v>44408</v>
      </c>
      <c r="L83" s="92" t="s">
        <v>914</v>
      </c>
      <c r="M83" s="92" t="s">
        <v>915</v>
      </c>
      <c r="N83" s="92" t="s">
        <v>712</v>
      </c>
      <c r="O83" s="92" t="s">
        <v>916</v>
      </c>
      <c r="R83" s="92" t="s">
        <v>871</v>
      </c>
      <c r="X83" s="92" t="s">
        <v>716</v>
      </c>
      <c r="AA83" s="92" t="s">
        <v>716</v>
      </c>
      <c r="AC83" s="92" t="s">
        <v>882</v>
      </c>
      <c r="AD83" s="92" t="s">
        <v>864</v>
      </c>
      <c r="AE83" s="92" t="s">
        <v>735</v>
      </c>
      <c r="AM83" s="92" t="s">
        <v>778</v>
      </c>
      <c r="AN83" s="92" t="s">
        <v>778</v>
      </c>
    </row>
    <row r="84" spans="2:40" s="92" customFormat="1">
      <c r="B84" s="92" t="s">
        <v>863</v>
      </c>
      <c r="C84" s="92" t="s">
        <v>942</v>
      </c>
      <c r="D84" s="92" t="s">
        <v>848</v>
      </c>
      <c r="E84" s="92" t="s">
        <v>726</v>
      </c>
      <c r="F84" s="92" t="s">
        <v>864</v>
      </c>
      <c r="G84" s="92" t="s">
        <v>920</v>
      </c>
      <c r="H84" s="92" t="s">
        <v>778</v>
      </c>
      <c r="I84" s="92">
        <v>272676</v>
      </c>
      <c r="J84" s="92" t="s">
        <v>913</v>
      </c>
      <c r="K84" s="105">
        <v>46053</v>
      </c>
      <c r="L84" s="92" t="s">
        <v>921</v>
      </c>
      <c r="M84" s="92" t="s">
        <v>922</v>
      </c>
      <c r="N84" s="92" t="s">
        <v>733</v>
      </c>
      <c r="O84" s="92" t="s">
        <v>916</v>
      </c>
      <c r="R84" s="92" t="s">
        <v>871</v>
      </c>
      <c r="Y84" s="92" t="s">
        <v>716</v>
      </c>
      <c r="AB84" s="92" t="s">
        <v>923</v>
      </c>
      <c r="AC84" s="92" t="s">
        <v>882</v>
      </c>
      <c r="AD84" s="92" t="s">
        <v>864</v>
      </c>
      <c r="AE84" s="92" t="s">
        <v>743</v>
      </c>
      <c r="AM84" s="92" t="s">
        <v>778</v>
      </c>
      <c r="AN84" s="92" t="s">
        <v>778</v>
      </c>
    </row>
    <row r="85" spans="2:40">
      <c r="B85" t="s">
        <v>863</v>
      </c>
      <c r="E85" t="s">
        <v>726</v>
      </c>
      <c r="F85" t="s">
        <v>864</v>
      </c>
      <c r="G85" t="s">
        <v>924</v>
      </c>
      <c r="H85" t="s">
        <v>778</v>
      </c>
      <c r="I85" t="s">
        <v>925</v>
      </c>
      <c r="J85" t="s">
        <v>926</v>
      </c>
      <c r="K85" s="93">
        <v>45838</v>
      </c>
      <c r="L85" t="s">
        <v>914</v>
      </c>
      <c r="M85" t="s">
        <v>915</v>
      </c>
      <c r="N85" t="s">
        <v>712</v>
      </c>
      <c r="O85" t="s">
        <v>916</v>
      </c>
      <c r="R85" t="s">
        <v>871</v>
      </c>
      <c r="Z85" t="s">
        <v>716</v>
      </c>
      <c r="AA85" t="s">
        <v>716</v>
      </c>
      <c r="AC85" t="s">
        <v>882</v>
      </c>
      <c r="AD85" t="s">
        <v>864</v>
      </c>
      <c r="AE85" t="s">
        <v>735</v>
      </c>
      <c r="AM85" t="s">
        <v>778</v>
      </c>
      <c r="AN85" t="s">
        <v>778</v>
      </c>
    </row>
    <row r="86" spans="2:40" ht="15">
      <c r="B86" t="s">
        <v>863</v>
      </c>
      <c r="E86" t="s">
        <v>726</v>
      </c>
      <c r="F86" t="s">
        <v>864</v>
      </c>
      <c r="G86" t="s">
        <v>927</v>
      </c>
      <c r="H86" t="s">
        <v>778</v>
      </c>
      <c r="I86" t="s">
        <v>928</v>
      </c>
      <c r="J86" t="s">
        <v>929</v>
      </c>
      <c r="K86" s="93">
        <v>45688</v>
      </c>
      <c r="L86" t="s">
        <v>921</v>
      </c>
      <c r="M86" t="s">
        <v>915</v>
      </c>
      <c r="N86" t="s">
        <v>733</v>
      </c>
      <c r="O86" t="s">
        <v>916</v>
      </c>
      <c r="R86" t="s">
        <v>871</v>
      </c>
      <c r="AC86" t="s">
        <v>882</v>
      </c>
      <c r="AE86" t="s">
        <v>743</v>
      </c>
      <c r="AM86" t="s">
        <v>778</v>
      </c>
      <c r="AN86" t="s">
        <v>778</v>
      </c>
    </row>
    <row r="87" spans="2:40">
      <c r="B87" t="s">
        <v>863</v>
      </c>
      <c r="E87" t="s">
        <v>726</v>
      </c>
      <c r="F87" t="s">
        <v>864</v>
      </c>
      <c r="G87" t="s">
        <v>930</v>
      </c>
      <c r="H87" t="s">
        <v>778</v>
      </c>
      <c r="I87" t="s">
        <v>925</v>
      </c>
      <c r="J87" t="s">
        <v>931</v>
      </c>
      <c r="K87" s="93">
        <v>45583</v>
      </c>
      <c r="L87" t="s">
        <v>932</v>
      </c>
      <c r="M87" t="s">
        <v>933</v>
      </c>
      <c r="N87" t="s">
        <v>910</v>
      </c>
      <c r="O87" t="s">
        <v>916</v>
      </c>
      <c r="R87" t="s">
        <v>871</v>
      </c>
      <c r="Z87" t="s">
        <v>716</v>
      </c>
      <c r="AA87" t="s">
        <v>716</v>
      </c>
      <c r="AC87" t="s">
        <v>882</v>
      </c>
      <c r="AD87" t="s">
        <v>864</v>
      </c>
      <c r="AE87" t="s">
        <v>735</v>
      </c>
      <c r="AM87" t="s">
        <v>778</v>
      </c>
      <c r="AN87" t="s">
        <v>778</v>
      </c>
    </row>
    <row r="88" spans="2:40" s="46" customFormat="1">
      <c r="B88" s="46" t="s">
        <v>863</v>
      </c>
      <c r="C88" s="46" t="s">
        <v>13</v>
      </c>
      <c r="D88" s="46" t="s">
        <v>848</v>
      </c>
      <c r="E88" s="46" t="s">
        <v>726</v>
      </c>
      <c r="F88" s="46" t="s">
        <v>864</v>
      </c>
      <c r="G88" s="46" t="s">
        <v>917</v>
      </c>
      <c r="H88" s="46" t="s">
        <v>778</v>
      </c>
      <c r="I88" s="46">
        <v>272676</v>
      </c>
      <c r="J88" s="46" t="s">
        <v>918</v>
      </c>
      <c r="K88" s="104">
        <v>45869</v>
      </c>
      <c r="L88" s="46" t="s">
        <v>914</v>
      </c>
      <c r="M88" s="46" t="s">
        <v>915</v>
      </c>
      <c r="N88" s="46" t="s">
        <v>712</v>
      </c>
      <c r="O88" s="46" t="s">
        <v>916</v>
      </c>
      <c r="R88" s="46" t="s">
        <v>871</v>
      </c>
      <c r="V88" s="46" t="s">
        <v>716</v>
      </c>
      <c r="Z88" s="46" t="s">
        <v>716</v>
      </c>
      <c r="AA88" s="46" t="s">
        <v>716</v>
      </c>
      <c r="AC88" s="46" t="s">
        <v>882</v>
      </c>
      <c r="AD88" s="46" t="s">
        <v>864</v>
      </c>
      <c r="AE88" s="46" t="s">
        <v>743</v>
      </c>
      <c r="AM88" s="46" t="s">
        <v>778</v>
      </c>
      <c r="AN88" s="46" t="s">
        <v>778</v>
      </c>
    </row>
    <row r="89" spans="2:40" s="92" customFormat="1">
      <c r="B89" s="92" t="s">
        <v>863</v>
      </c>
      <c r="C89" s="92" t="s">
        <v>942</v>
      </c>
      <c r="D89" s="92" t="s">
        <v>848</v>
      </c>
      <c r="E89" s="92" t="s">
        <v>726</v>
      </c>
      <c r="F89" s="92" t="s">
        <v>864</v>
      </c>
      <c r="G89" s="92" t="s">
        <v>919</v>
      </c>
      <c r="H89" s="92" t="s">
        <v>778</v>
      </c>
      <c r="I89" s="92">
        <v>272676</v>
      </c>
      <c r="J89" s="92" t="s">
        <v>913</v>
      </c>
      <c r="K89" s="105">
        <v>44408</v>
      </c>
      <c r="L89" s="92" t="s">
        <v>914</v>
      </c>
      <c r="M89" s="92" t="s">
        <v>915</v>
      </c>
      <c r="N89" s="92" t="s">
        <v>712</v>
      </c>
      <c r="O89" s="92" t="s">
        <v>916</v>
      </c>
      <c r="R89" s="92" t="s">
        <v>871</v>
      </c>
      <c r="X89" s="92" t="s">
        <v>716</v>
      </c>
      <c r="AA89" s="92" t="s">
        <v>716</v>
      </c>
      <c r="AC89" s="92" t="s">
        <v>882</v>
      </c>
      <c r="AD89" s="92" t="s">
        <v>864</v>
      </c>
      <c r="AE89" s="92" t="s">
        <v>735</v>
      </c>
      <c r="AM89" s="92" t="s">
        <v>778</v>
      </c>
      <c r="AN89" s="92" t="s">
        <v>778</v>
      </c>
    </row>
    <row r="90" spans="2:40" s="92" customFormat="1">
      <c r="B90" s="92" t="s">
        <v>863</v>
      </c>
      <c r="C90" s="92" t="s">
        <v>942</v>
      </c>
      <c r="D90" s="92" t="s">
        <v>848</v>
      </c>
      <c r="E90" s="92" t="s">
        <v>726</v>
      </c>
      <c r="F90" s="92" t="s">
        <v>864</v>
      </c>
      <c r="G90" s="92" t="s">
        <v>920</v>
      </c>
      <c r="H90" s="92" t="s">
        <v>778</v>
      </c>
      <c r="I90" s="92">
        <v>272676</v>
      </c>
      <c r="J90" s="92" t="s">
        <v>913</v>
      </c>
      <c r="K90" s="105">
        <v>46053</v>
      </c>
      <c r="L90" s="92" t="s">
        <v>921</v>
      </c>
      <c r="M90" s="92" t="s">
        <v>922</v>
      </c>
      <c r="N90" s="92" t="s">
        <v>733</v>
      </c>
      <c r="O90" s="92" t="s">
        <v>916</v>
      </c>
      <c r="R90" s="92" t="s">
        <v>871</v>
      </c>
      <c r="Y90" s="92" t="s">
        <v>716</v>
      </c>
      <c r="AB90" s="92" t="s">
        <v>923</v>
      </c>
      <c r="AC90" s="92" t="s">
        <v>882</v>
      </c>
      <c r="AD90" s="92" t="s">
        <v>864</v>
      </c>
      <c r="AE90" s="92" t="s">
        <v>743</v>
      </c>
      <c r="AM90" s="92" t="s">
        <v>778</v>
      </c>
      <c r="AN90" s="92" t="s">
        <v>778</v>
      </c>
    </row>
    <row r="91" spans="2:40" s="110" customFormat="1">
      <c r="B91" s="110" t="s">
        <v>863</v>
      </c>
      <c r="D91" s="110" t="s">
        <v>848</v>
      </c>
      <c r="E91" s="110" t="s">
        <v>726</v>
      </c>
      <c r="F91" s="110" t="s">
        <v>864</v>
      </c>
      <c r="G91" s="110" t="s">
        <v>924</v>
      </c>
      <c r="H91" s="110" t="s">
        <v>778</v>
      </c>
      <c r="I91" s="110" t="s">
        <v>925</v>
      </c>
      <c r="J91" s="110" t="s">
        <v>926</v>
      </c>
      <c r="K91" s="112">
        <v>45838</v>
      </c>
      <c r="L91" s="110" t="s">
        <v>914</v>
      </c>
      <c r="M91" s="110" t="s">
        <v>915</v>
      </c>
      <c r="N91" s="110" t="s">
        <v>712</v>
      </c>
      <c r="O91" s="110" t="s">
        <v>916</v>
      </c>
      <c r="R91" s="110" t="s">
        <v>871</v>
      </c>
      <c r="Z91" s="110" t="s">
        <v>716</v>
      </c>
      <c r="AA91" s="110" t="s">
        <v>716</v>
      </c>
      <c r="AC91" s="110" t="s">
        <v>882</v>
      </c>
      <c r="AD91" s="110" t="s">
        <v>864</v>
      </c>
      <c r="AE91" s="110" t="s">
        <v>735</v>
      </c>
      <c r="AM91" s="110" t="s">
        <v>778</v>
      </c>
      <c r="AN91" s="110" t="s">
        <v>778</v>
      </c>
    </row>
    <row r="92" spans="2:40">
      <c r="B92" t="s">
        <v>863</v>
      </c>
      <c r="E92" t="s">
        <v>726</v>
      </c>
      <c r="F92" t="s">
        <v>864</v>
      </c>
      <c r="G92" t="s">
        <v>927</v>
      </c>
      <c r="H92" t="s">
        <v>778</v>
      </c>
      <c r="I92" t="s">
        <v>928</v>
      </c>
      <c r="J92" t="s">
        <v>929</v>
      </c>
      <c r="K92" s="93">
        <v>45688</v>
      </c>
      <c r="L92" t="s">
        <v>921</v>
      </c>
      <c r="M92" t="s">
        <v>915</v>
      </c>
      <c r="N92" t="s">
        <v>733</v>
      </c>
      <c r="O92" t="s">
        <v>916</v>
      </c>
      <c r="R92" t="s">
        <v>871</v>
      </c>
      <c r="AC92" t="s">
        <v>882</v>
      </c>
      <c r="AE92" t="s">
        <v>743</v>
      </c>
      <c r="AM92" t="s">
        <v>778</v>
      </c>
      <c r="AN92" t="s">
        <v>778</v>
      </c>
    </row>
    <row r="93" spans="2:40" s="110" customFormat="1">
      <c r="B93" s="110" t="s">
        <v>863</v>
      </c>
      <c r="D93" s="110" t="s">
        <v>848</v>
      </c>
      <c r="E93" s="110" t="s">
        <v>726</v>
      </c>
      <c r="F93" s="110" t="s">
        <v>864</v>
      </c>
      <c r="G93" s="110" t="s">
        <v>930</v>
      </c>
      <c r="H93" s="110" t="s">
        <v>778</v>
      </c>
      <c r="I93" s="110" t="s">
        <v>925</v>
      </c>
      <c r="J93" s="110" t="s">
        <v>931</v>
      </c>
      <c r="K93" s="112">
        <v>45583</v>
      </c>
      <c r="L93" s="110" t="s">
        <v>932</v>
      </c>
      <c r="M93" s="110" t="s">
        <v>933</v>
      </c>
      <c r="N93" s="110" t="s">
        <v>910</v>
      </c>
      <c r="O93" s="110" t="s">
        <v>916</v>
      </c>
      <c r="R93" s="110" t="s">
        <v>871</v>
      </c>
      <c r="Z93" s="110" t="s">
        <v>716</v>
      </c>
      <c r="AA93" s="110" t="s">
        <v>716</v>
      </c>
      <c r="AC93" s="110" t="s">
        <v>882</v>
      </c>
      <c r="AD93" s="110" t="s">
        <v>864</v>
      </c>
      <c r="AE93" s="110" t="s">
        <v>735</v>
      </c>
      <c r="AM93" s="110" t="s">
        <v>778</v>
      </c>
      <c r="AN93" s="110" t="s">
        <v>778</v>
      </c>
    </row>
    <row r="94" spans="2:40" ht="15">
      <c r="E94" s="60"/>
      <c r="K94" s="93"/>
      <c r="L94"/>
    </row>
    <row r="95" spans="2:40" ht="15">
      <c r="E95" s="60"/>
      <c r="K95" s="93"/>
      <c r="L95"/>
    </row>
    <row r="96" spans="2:40">
      <c r="B96" t="s">
        <v>863</v>
      </c>
      <c r="F96" s="60" t="s">
        <v>759</v>
      </c>
      <c r="G96" s="95" t="s">
        <v>943</v>
      </c>
      <c r="H96" s="60"/>
      <c r="I96" s="96"/>
      <c r="J96" s="97" t="s">
        <v>944</v>
      </c>
      <c r="K96" s="93">
        <v>45989</v>
      </c>
      <c r="L96" t="s">
        <v>762</v>
      </c>
      <c r="M96" t="s">
        <v>945</v>
      </c>
      <c r="N96" t="s">
        <v>712</v>
      </c>
      <c r="O96" t="s">
        <v>946</v>
      </c>
      <c r="P96" t="s">
        <v>765</v>
      </c>
      <c r="Q96" t="s">
        <v>715</v>
      </c>
      <c r="R96" t="s">
        <v>947</v>
      </c>
      <c r="S96" t="s">
        <v>778</v>
      </c>
      <c r="X96" t="s">
        <v>715</v>
      </c>
      <c r="Y96" t="s">
        <v>716</v>
      </c>
      <c r="Z96" t="s">
        <v>715</v>
      </c>
      <c r="AA96" t="s">
        <v>716</v>
      </c>
      <c r="AB96" t="s">
        <v>715</v>
      </c>
      <c r="AC96" t="s">
        <v>715</v>
      </c>
      <c r="AD96" t="s">
        <v>770</v>
      </c>
      <c r="AE96" t="s">
        <v>750</v>
      </c>
      <c r="AF96" t="s">
        <v>716</v>
      </c>
      <c r="AG96" t="s">
        <v>715</v>
      </c>
      <c r="AH96" t="s">
        <v>771</v>
      </c>
    </row>
    <row r="97" spans="2:34" ht="29.1">
      <c r="B97" t="s">
        <v>863</v>
      </c>
      <c r="F97" s="60" t="s">
        <v>759</v>
      </c>
      <c r="G97" s="95" t="s">
        <v>948</v>
      </c>
      <c r="H97" s="60"/>
      <c r="I97" s="96"/>
      <c r="J97" s="97" t="s">
        <v>944</v>
      </c>
      <c r="K97" s="93">
        <v>45989</v>
      </c>
      <c r="L97" t="s">
        <v>762</v>
      </c>
      <c r="M97" t="s">
        <v>949</v>
      </c>
      <c r="N97" t="s">
        <v>733</v>
      </c>
      <c r="O97" t="s">
        <v>950</v>
      </c>
      <c r="P97" t="s">
        <v>765</v>
      </c>
      <c r="Q97" t="s">
        <v>715</v>
      </c>
      <c r="R97" t="s">
        <v>947</v>
      </c>
      <c r="S97" t="s">
        <v>778</v>
      </c>
      <c r="X97" t="s">
        <v>715</v>
      </c>
      <c r="Y97" t="s">
        <v>716</v>
      </c>
      <c r="Z97" t="s">
        <v>715</v>
      </c>
      <c r="AA97" t="s">
        <v>716</v>
      </c>
      <c r="AB97" t="s">
        <v>715</v>
      </c>
      <c r="AC97" t="s">
        <v>715</v>
      </c>
      <c r="AD97" t="s">
        <v>770</v>
      </c>
      <c r="AE97" t="s">
        <v>750</v>
      </c>
      <c r="AF97" t="s">
        <v>716</v>
      </c>
      <c r="AG97" t="s">
        <v>715</v>
      </c>
      <c r="AH97" t="s">
        <v>771</v>
      </c>
    </row>
    <row r="98" spans="2:34">
      <c r="B98" t="s">
        <v>863</v>
      </c>
      <c r="F98" s="60" t="s">
        <v>759</v>
      </c>
      <c r="G98" s="95" t="s">
        <v>943</v>
      </c>
      <c r="H98" s="60"/>
      <c r="I98" s="96"/>
      <c r="J98" s="96" t="s">
        <v>944</v>
      </c>
      <c r="K98" s="93">
        <v>45838</v>
      </c>
      <c r="L98" t="s">
        <v>762</v>
      </c>
      <c r="M98" t="s">
        <v>951</v>
      </c>
      <c r="N98" t="s">
        <v>733</v>
      </c>
      <c r="O98" t="s">
        <v>950</v>
      </c>
      <c r="P98" t="s">
        <v>765</v>
      </c>
      <c r="Q98" t="s">
        <v>715</v>
      </c>
      <c r="R98" t="s">
        <v>952</v>
      </c>
      <c r="S98" t="s">
        <v>778</v>
      </c>
      <c r="X98" t="s">
        <v>715</v>
      </c>
      <c r="Y98" t="s">
        <v>716</v>
      </c>
      <c r="Z98" t="s">
        <v>715</v>
      </c>
      <c r="AA98" t="s">
        <v>716</v>
      </c>
      <c r="AB98" t="s">
        <v>715</v>
      </c>
      <c r="AC98" t="s">
        <v>715</v>
      </c>
      <c r="AD98" t="s">
        <v>770</v>
      </c>
      <c r="AE98" t="s">
        <v>750</v>
      </c>
      <c r="AF98" t="s">
        <v>716</v>
      </c>
      <c r="AG98" t="s">
        <v>715</v>
      </c>
      <c r="AH98" t="s">
        <v>771</v>
      </c>
    </row>
    <row r="99" spans="2:34">
      <c r="B99" t="s">
        <v>863</v>
      </c>
      <c r="F99" s="60" t="s">
        <v>759</v>
      </c>
      <c r="G99" s="95" t="s">
        <v>943</v>
      </c>
      <c r="H99" s="60"/>
      <c r="I99" s="96"/>
      <c r="J99" s="96" t="s">
        <v>944</v>
      </c>
      <c r="K99" s="93">
        <v>45657</v>
      </c>
      <c r="L99" t="s">
        <v>762</v>
      </c>
      <c r="M99" t="s">
        <v>951</v>
      </c>
      <c r="N99" t="s">
        <v>733</v>
      </c>
      <c r="O99" t="s">
        <v>950</v>
      </c>
      <c r="P99" t="s">
        <v>765</v>
      </c>
      <c r="Q99" t="s">
        <v>715</v>
      </c>
      <c r="R99" t="s">
        <v>952</v>
      </c>
      <c r="S99" t="s">
        <v>778</v>
      </c>
      <c r="X99" t="s">
        <v>715</v>
      </c>
      <c r="Y99" t="s">
        <v>716</v>
      </c>
      <c r="Z99" t="s">
        <v>715</v>
      </c>
      <c r="AA99" t="s">
        <v>716</v>
      </c>
      <c r="AB99" t="s">
        <v>715</v>
      </c>
      <c r="AC99" t="s">
        <v>715</v>
      </c>
      <c r="AD99" t="s">
        <v>770</v>
      </c>
      <c r="AE99" t="s">
        <v>750</v>
      </c>
      <c r="AF99" t="s">
        <v>716</v>
      </c>
      <c r="AG99" t="s">
        <v>715</v>
      </c>
      <c r="AH99" t="s">
        <v>771</v>
      </c>
    </row>
    <row r="100" spans="2:34">
      <c r="B100" t="s">
        <v>863</v>
      </c>
      <c r="F100" s="60" t="s">
        <v>759</v>
      </c>
      <c r="G100" s="95" t="s">
        <v>943</v>
      </c>
      <c r="H100" s="60"/>
      <c r="I100" s="96"/>
      <c r="J100" s="96" t="s">
        <v>953</v>
      </c>
      <c r="K100" s="93">
        <v>45989</v>
      </c>
      <c r="L100" t="s">
        <v>762</v>
      </c>
      <c r="M100" t="s">
        <v>954</v>
      </c>
      <c r="N100" t="s">
        <v>955</v>
      </c>
      <c r="O100" t="s">
        <v>946</v>
      </c>
      <c r="P100" t="s">
        <v>765</v>
      </c>
      <c r="Q100" t="s">
        <v>715</v>
      </c>
      <c r="R100" t="s">
        <v>956</v>
      </c>
      <c r="S100" t="s">
        <v>778</v>
      </c>
      <c r="X100" t="s">
        <v>715</v>
      </c>
      <c r="Y100" t="s">
        <v>716</v>
      </c>
      <c r="Z100" t="s">
        <v>715</v>
      </c>
      <c r="AA100" t="s">
        <v>716</v>
      </c>
      <c r="AB100" t="s">
        <v>715</v>
      </c>
      <c r="AC100" t="s">
        <v>715</v>
      </c>
      <c r="AD100" t="s">
        <v>770</v>
      </c>
      <c r="AE100" t="s">
        <v>750</v>
      </c>
      <c r="AF100" t="s">
        <v>716</v>
      </c>
      <c r="AG100" t="s">
        <v>715</v>
      </c>
      <c r="AH100" t="s">
        <v>771</v>
      </c>
    </row>
    <row r="101" spans="2:34">
      <c r="B101" t="s">
        <v>863</v>
      </c>
      <c r="F101" s="60" t="s">
        <v>759</v>
      </c>
      <c r="G101" s="95" t="s">
        <v>957</v>
      </c>
      <c r="H101" s="60"/>
      <c r="I101" s="96"/>
      <c r="J101" s="96" t="s">
        <v>958</v>
      </c>
      <c r="K101" s="93">
        <v>46022</v>
      </c>
      <c r="L101" t="s">
        <v>762</v>
      </c>
      <c r="M101" t="s">
        <v>945</v>
      </c>
      <c r="N101" t="s">
        <v>712</v>
      </c>
      <c r="O101" t="s">
        <v>946</v>
      </c>
      <c r="P101" t="s">
        <v>765</v>
      </c>
      <c r="Q101" t="s">
        <v>715</v>
      </c>
      <c r="R101" t="s">
        <v>947</v>
      </c>
      <c r="S101" t="s">
        <v>778</v>
      </c>
      <c r="X101" t="s">
        <v>715</v>
      </c>
      <c r="Y101" t="s">
        <v>716</v>
      </c>
      <c r="Z101" t="s">
        <v>715</v>
      </c>
      <c r="AA101" t="s">
        <v>716</v>
      </c>
      <c r="AB101" t="s">
        <v>715</v>
      </c>
      <c r="AC101" t="s">
        <v>715</v>
      </c>
      <c r="AD101" t="s">
        <v>770</v>
      </c>
      <c r="AE101" t="s">
        <v>750</v>
      </c>
      <c r="AF101" t="s">
        <v>715</v>
      </c>
      <c r="AG101" t="s">
        <v>715</v>
      </c>
      <c r="AH101" t="s">
        <v>771</v>
      </c>
    </row>
    <row r="102" spans="2:34">
      <c r="B102" t="s">
        <v>863</v>
      </c>
      <c r="F102" s="60" t="s">
        <v>759</v>
      </c>
      <c r="G102" s="95" t="s">
        <v>957</v>
      </c>
      <c r="H102" s="60"/>
      <c r="I102" s="96"/>
      <c r="J102" s="96" t="s">
        <v>958</v>
      </c>
      <c r="K102" s="93">
        <v>45838</v>
      </c>
      <c r="L102" t="s">
        <v>762</v>
      </c>
      <c r="M102" t="s">
        <v>951</v>
      </c>
      <c r="N102" t="s">
        <v>733</v>
      </c>
      <c r="O102" t="s">
        <v>950</v>
      </c>
      <c r="P102" t="s">
        <v>765</v>
      </c>
      <c r="Q102" t="s">
        <v>715</v>
      </c>
      <c r="R102" t="s">
        <v>952</v>
      </c>
      <c r="S102" t="s">
        <v>778</v>
      </c>
      <c r="X102" t="s">
        <v>715</v>
      </c>
      <c r="Y102" t="s">
        <v>716</v>
      </c>
      <c r="Z102" t="s">
        <v>715</v>
      </c>
      <c r="AA102" t="s">
        <v>716</v>
      </c>
      <c r="AB102" t="s">
        <v>715</v>
      </c>
      <c r="AC102" t="s">
        <v>715</v>
      </c>
      <c r="AD102" t="s">
        <v>770</v>
      </c>
      <c r="AE102" t="s">
        <v>750</v>
      </c>
      <c r="AF102" t="s">
        <v>715</v>
      </c>
      <c r="AG102" t="s">
        <v>715</v>
      </c>
      <c r="AH102" t="s">
        <v>771</v>
      </c>
    </row>
    <row r="103" spans="2:34">
      <c r="B103" t="s">
        <v>863</v>
      </c>
      <c r="E103" t="s">
        <v>726</v>
      </c>
      <c r="F103" s="60" t="s">
        <v>759</v>
      </c>
      <c r="G103" s="95" t="s">
        <v>959</v>
      </c>
      <c r="H103" s="60"/>
      <c r="I103" s="96"/>
      <c r="J103" s="96" t="s">
        <v>960</v>
      </c>
      <c r="K103" s="93">
        <v>46022</v>
      </c>
      <c r="L103" t="s">
        <v>762</v>
      </c>
      <c r="M103" t="s">
        <v>945</v>
      </c>
      <c r="N103" t="s">
        <v>712</v>
      </c>
      <c r="O103" t="s">
        <v>946</v>
      </c>
      <c r="P103" t="s">
        <v>765</v>
      </c>
      <c r="Q103" t="s">
        <v>715</v>
      </c>
      <c r="R103" t="s">
        <v>947</v>
      </c>
      <c r="S103" t="s">
        <v>778</v>
      </c>
      <c r="X103" t="s">
        <v>716</v>
      </c>
      <c r="Y103" t="s">
        <v>715</v>
      </c>
      <c r="Z103" t="s">
        <v>715</v>
      </c>
      <c r="AA103" t="s">
        <v>716</v>
      </c>
      <c r="AB103" t="s">
        <v>715</v>
      </c>
      <c r="AC103" t="s">
        <v>715</v>
      </c>
      <c r="AD103" t="s">
        <v>770</v>
      </c>
      <c r="AE103" t="s">
        <v>750</v>
      </c>
      <c r="AF103" t="s">
        <v>715</v>
      </c>
      <c r="AG103" t="s">
        <v>715</v>
      </c>
      <c r="AH103" t="s">
        <v>771</v>
      </c>
    </row>
    <row r="104" spans="2:34">
      <c r="B104" t="s">
        <v>863</v>
      </c>
      <c r="F104" s="60" t="s">
        <v>759</v>
      </c>
      <c r="G104" s="95" t="s">
        <v>961</v>
      </c>
      <c r="H104" s="60"/>
      <c r="I104" s="96"/>
      <c r="J104" s="96" t="s">
        <v>962</v>
      </c>
      <c r="K104" s="93">
        <v>46022</v>
      </c>
      <c r="L104" t="s">
        <v>762</v>
      </c>
      <c r="M104" t="s">
        <v>945</v>
      </c>
      <c r="N104" t="s">
        <v>712</v>
      </c>
      <c r="O104" t="s">
        <v>946</v>
      </c>
      <c r="P104" t="s">
        <v>765</v>
      </c>
      <c r="Q104" t="s">
        <v>715</v>
      </c>
      <c r="R104" t="s">
        <v>947</v>
      </c>
      <c r="S104" t="s">
        <v>778</v>
      </c>
      <c r="X104" t="s">
        <v>715</v>
      </c>
      <c r="Y104" t="s">
        <v>716</v>
      </c>
      <c r="Z104" t="s">
        <v>715</v>
      </c>
      <c r="AA104" t="s">
        <v>716</v>
      </c>
      <c r="AB104" t="s">
        <v>715</v>
      </c>
      <c r="AC104" t="s">
        <v>715</v>
      </c>
      <c r="AD104" t="s">
        <v>770</v>
      </c>
      <c r="AE104" t="s">
        <v>750</v>
      </c>
      <c r="AF104" t="s">
        <v>715</v>
      </c>
      <c r="AG104" t="s">
        <v>715</v>
      </c>
      <c r="AH104" t="s">
        <v>771</v>
      </c>
    </row>
    <row r="105" spans="2:34">
      <c r="B105" t="s">
        <v>863</v>
      </c>
      <c r="E105" t="s">
        <v>963</v>
      </c>
      <c r="F105" s="60" t="s">
        <v>759</v>
      </c>
      <c r="G105" s="95" t="s">
        <v>964</v>
      </c>
      <c r="H105" s="60"/>
      <c r="I105" s="96"/>
      <c r="J105" s="96" t="s">
        <v>965</v>
      </c>
      <c r="K105" s="93">
        <v>46022</v>
      </c>
      <c r="L105" t="s">
        <v>966</v>
      </c>
      <c r="M105" t="s">
        <v>967</v>
      </c>
      <c r="N105" t="s">
        <v>968</v>
      </c>
      <c r="O105" t="s">
        <v>969</v>
      </c>
      <c r="P105" t="s">
        <v>970</v>
      </c>
      <c r="Q105" t="s">
        <v>715</v>
      </c>
      <c r="R105" t="s">
        <v>952</v>
      </c>
      <c r="S105" t="s">
        <v>778</v>
      </c>
      <c r="X105" t="s">
        <v>715</v>
      </c>
      <c r="Y105" t="s">
        <v>715</v>
      </c>
      <c r="Z105" t="s">
        <v>716</v>
      </c>
      <c r="AA105" t="s">
        <v>716</v>
      </c>
      <c r="AB105" t="s">
        <v>715</v>
      </c>
      <c r="AC105" t="s">
        <v>715</v>
      </c>
      <c r="AD105" t="s">
        <v>770</v>
      </c>
      <c r="AE105" t="s">
        <v>750</v>
      </c>
      <c r="AF105" t="s">
        <v>715</v>
      </c>
      <c r="AG105" t="s">
        <v>715</v>
      </c>
      <c r="AH105" t="s">
        <v>771</v>
      </c>
    </row>
    <row r="106" spans="2:34">
      <c r="B106" t="s">
        <v>863</v>
      </c>
      <c r="E106" t="s">
        <v>963</v>
      </c>
      <c r="F106" s="60" t="s">
        <v>759</v>
      </c>
      <c r="G106" s="95" t="s">
        <v>964</v>
      </c>
      <c r="H106" s="60"/>
      <c r="I106" s="96"/>
      <c r="J106" s="96" t="s">
        <v>971</v>
      </c>
      <c r="K106" s="93">
        <v>46022</v>
      </c>
      <c r="L106" t="s">
        <v>966</v>
      </c>
      <c r="M106" t="s">
        <v>967</v>
      </c>
      <c r="N106" t="s">
        <v>968</v>
      </c>
      <c r="O106" t="s">
        <v>969</v>
      </c>
      <c r="P106" t="s">
        <v>970</v>
      </c>
      <c r="Q106" t="s">
        <v>715</v>
      </c>
      <c r="R106" t="s">
        <v>952</v>
      </c>
      <c r="S106" t="s">
        <v>778</v>
      </c>
      <c r="X106" t="s">
        <v>715</v>
      </c>
      <c r="Y106" t="s">
        <v>715</v>
      </c>
      <c r="Z106" t="s">
        <v>716</v>
      </c>
      <c r="AA106" t="s">
        <v>716</v>
      </c>
      <c r="AB106" t="s">
        <v>715</v>
      </c>
      <c r="AC106" t="s">
        <v>715</v>
      </c>
      <c r="AD106" t="s">
        <v>770</v>
      </c>
      <c r="AE106" t="s">
        <v>750</v>
      </c>
      <c r="AF106" t="s">
        <v>715</v>
      </c>
      <c r="AG106" t="s">
        <v>715</v>
      </c>
      <c r="AH106" t="s">
        <v>771</v>
      </c>
    </row>
    <row r="107" spans="2:34" ht="29.1">
      <c r="B107" t="s">
        <v>863</v>
      </c>
      <c r="F107" s="60" t="s">
        <v>759</v>
      </c>
      <c r="G107" s="95" t="s">
        <v>972</v>
      </c>
      <c r="H107" s="60"/>
      <c r="I107" s="96"/>
      <c r="J107" s="96" t="s">
        <v>973</v>
      </c>
      <c r="K107" s="93">
        <v>46022</v>
      </c>
      <c r="L107" t="s">
        <v>974</v>
      </c>
      <c r="M107" t="s">
        <v>975</v>
      </c>
      <c r="N107" t="s">
        <v>976</v>
      </c>
      <c r="O107" t="s">
        <v>946</v>
      </c>
      <c r="P107" t="s">
        <v>765</v>
      </c>
      <c r="Q107" t="s">
        <v>715</v>
      </c>
      <c r="R107" t="s">
        <v>977</v>
      </c>
      <c r="S107" t="s">
        <v>778</v>
      </c>
      <c r="X107" t="s">
        <v>715</v>
      </c>
      <c r="Y107" t="s">
        <v>715</v>
      </c>
      <c r="Z107" t="s">
        <v>716</v>
      </c>
      <c r="AA107" t="s">
        <v>716</v>
      </c>
      <c r="AB107" t="s">
        <v>715</v>
      </c>
      <c r="AC107" t="s">
        <v>715</v>
      </c>
      <c r="AD107" t="s">
        <v>770</v>
      </c>
      <c r="AE107" t="s">
        <v>750</v>
      </c>
      <c r="AF107" t="s">
        <v>715</v>
      </c>
      <c r="AG107" t="s">
        <v>715</v>
      </c>
      <c r="AH107" t="s">
        <v>771</v>
      </c>
    </row>
    <row r="108" spans="2:34" ht="29.1">
      <c r="B108" t="s">
        <v>863</v>
      </c>
      <c r="F108" s="60" t="s">
        <v>759</v>
      </c>
      <c r="G108" s="95" t="s">
        <v>978</v>
      </c>
      <c r="H108" s="60"/>
      <c r="I108" s="96"/>
      <c r="J108" s="96" t="s">
        <v>973</v>
      </c>
      <c r="K108" s="93">
        <v>45989</v>
      </c>
      <c r="L108" t="s">
        <v>974</v>
      </c>
      <c r="M108" t="s">
        <v>975</v>
      </c>
      <c r="N108" t="s">
        <v>976</v>
      </c>
      <c r="O108" t="s">
        <v>946</v>
      </c>
      <c r="P108" t="s">
        <v>765</v>
      </c>
      <c r="Q108" t="s">
        <v>715</v>
      </c>
      <c r="R108" t="s">
        <v>977</v>
      </c>
      <c r="S108" t="s">
        <v>778</v>
      </c>
      <c r="X108" t="s">
        <v>715</v>
      </c>
      <c r="Y108" t="s">
        <v>715</v>
      </c>
      <c r="Z108" t="s">
        <v>716</v>
      </c>
      <c r="AA108" t="s">
        <v>716</v>
      </c>
      <c r="AB108" t="s">
        <v>715</v>
      </c>
      <c r="AC108" t="s">
        <v>715</v>
      </c>
      <c r="AD108" t="s">
        <v>770</v>
      </c>
      <c r="AE108" t="s">
        <v>750</v>
      </c>
      <c r="AF108" t="s">
        <v>715</v>
      </c>
      <c r="AG108" t="s">
        <v>715</v>
      </c>
      <c r="AH108" t="s">
        <v>771</v>
      </c>
    </row>
    <row r="109" spans="2:34" ht="29.1">
      <c r="B109" t="s">
        <v>863</v>
      </c>
      <c r="F109" s="60" t="s">
        <v>759</v>
      </c>
      <c r="G109" s="95" t="s">
        <v>979</v>
      </c>
      <c r="H109" s="60"/>
      <c r="I109" s="96"/>
      <c r="J109" s="96" t="s">
        <v>980</v>
      </c>
      <c r="K109" s="93">
        <v>46022</v>
      </c>
      <c r="L109" t="s">
        <v>974</v>
      </c>
      <c r="M109" t="s">
        <v>975</v>
      </c>
      <c r="N109" t="s">
        <v>976</v>
      </c>
      <c r="O109" t="s">
        <v>946</v>
      </c>
      <c r="P109" t="s">
        <v>765</v>
      </c>
      <c r="Q109" t="s">
        <v>715</v>
      </c>
      <c r="R109" t="s">
        <v>977</v>
      </c>
      <c r="S109" t="s">
        <v>778</v>
      </c>
      <c r="X109" t="s">
        <v>715</v>
      </c>
      <c r="Y109" t="s">
        <v>715</v>
      </c>
      <c r="Z109" t="s">
        <v>716</v>
      </c>
      <c r="AA109" t="s">
        <v>716</v>
      </c>
      <c r="AB109" t="s">
        <v>715</v>
      </c>
      <c r="AC109" t="s">
        <v>715</v>
      </c>
      <c r="AD109" t="s">
        <v>770</v>
      </c>
      <c r="AE109" t="s">
        <v>750</v>
      </c>
      <c r="AF109" t="s">
        <v>715</v>
      </c>
      <c r="AG109" t="s">
        <v>715</v>
      </c>
      <c r="AH109" t="s">
        <v>771</v>
      </c>
    </row>
    <row r="110" spans="2:34" ht="29.1">
      <c r="B110" t="s">
        <v>863</v>
      </c>
      <c r="F110" s="60" t="s">
        <v>759</v>
      </c>
      <c r="G110" s="95" t="s">
        <v>981</v>
      </c>
      <c r="H110" s="60"/>
      <c r="I110" s="96"/>
      <c r="J110" s="96" t="s">
        <v>980</v>
      </c>
      <c r="K110" s="93">
        <v>45989</v>
      </c>
      <c r="L110" t="s">
        <v>974</v>
      </c>
      <c r="M110" t="s">
        <v>975</v>
      </c>
      <c r="N110" t="s">
        <v>976</v>
      </c>
      <c r="O110" t="s">
        <v>946</v>
      </c>
      <c r="P110" t="s">
        <v>765</v>
      </c>
      <c r="Q110" t="s">
        <v>715</v>
      </c>
      <c r="R110" t="s">
        <v>977</v>
      </c>
      <c r="S110" t="s">
        <v>778</v>
      </c>
      <c r="X110" t="s">
        <v>715</v>
      </c>
      <c r="Y110" t="s">
        <v>715</v>
      </c>
      <c r="Z110" t="s">
        <v>716</v>
      </c>
      <c r="AA110" t="s">
        <v>716</v>
      </c>
      <c r="AB110" t="s">
        <v>715</v>
      </c>
      <c r="AC110" t="s">
        <v>715</v>
      </c>
      <c r="AD110" t="s">
        <v>770</v>
      </c>
      <c r="AE110" t="s">
        <v>750</v>
      </c>
      <c r="AF110" t="s">
        <v>715</v>
      </c>
      <c r="AG110" t="s">
        <v>715</v>
      </c>
      <c r="AH110" t="s">
        <v>771</v>
      </c>
    </row>
    <row r="111" spans="2:34" ht="29.1">
      <c r="B111" t="s">
        <v>863</v>
      </c>
      <c r="F111" s="60" t="s">
        <v>759</v>
      </c>
      <c r="G111" s="95" t="s">
        <v>982</v>
      </c>
      <c r="H111" s="60"/>
      <c r="I111" s="96"/>
      <c r="J111" s="97" t="s">
        <v>983</v>
      </c>
      <c r="K111" s="93">
        <v>45930</v>
      </c>
      <c r="L111" t="s">
        <v>974</v>
      </c>
      <c r="M111" t="s">
        <v>975</v>
      </c>
      <c r="N111" t="s">
        <v>976</v>
      </c>
      <c r="O111" t="s">
        <v>946</v>
      </c>
      <c r="P111" t="s">
        <v>765</v>
      </c>
      <c r="Q111" t="s">
        <v>715</v>
      </c>
      <c r="R111" t="s">
        <v>977</v>
      </c>
      <c r="S111" t="s">
        <v>778</v>
      </c>
      <c r="X111" t="s">
        <v>715</v>
      </c>
      <c r="Y111" t="s">
        <v>716</v>
      </c>
      <c r="Z111" t="s">
        <v>715</v>
      </c>
      <c r="AA111" t="s">
        <v>716</v>
      </c>
      <c r="AB111" t="s">
        <v>715</v>
      </c>
      <c r="AC111" t="s">
        <v>715</v>
      </c>
      <c r="AD111" t="s">
        <v>770</v>
      </c>
      <c r="AE111" t="s">
        <v>750</v>
      </c>
      <c r="AF111" t="s">
        <v>715</v>
      </c>
      <c r="AG111" t="s">
        <v>715</v>
      </c>
      <c r="AH111" t="s">
        <v>771</v>
      </c>
    </row>
    <row r="112" spans="2:34" ht="29.1">
      <c r="B112" t="s">
        <v>863</v>
      </c>
      <c r="F112" s="60" t="s">
        <v>759</v>
      </c>
      <c r="G112" s="95" t="s">
        <v>984</v>
      </c>
      <c r="H112" s="60"/>
      <c r="I112" s="96"/>
      <c r="J112" s="96" t="s">
        <v>985</v>
      </c>
      <c r="K112" s="93">
        <v>46022</v>
      </c>
      <c r="L112" t="s">
        <v>974</v>
      </c>
      <c r="M112" t="s">
        <v>975</v>
      </c>
      <c r="N112" t="s">
        <v>976</v>
      </c>
      <c r="O112" t="s">
        <v>946</v>
      </c>
      <c r="P112" t="s">
        <v>765</v>
      </c>
      <c r="Q112" t="s">
        <v>715</v>
      </c>
      <c r="R112" t="s">
        <v>977</v>
      </c>
      <c r="S112" t="s">
        <v>778</v>
      </c>
      <c r="X112" t="s">
        <v>715</v>
      </c>
      <c r="Y112" t="s">
        <v>716</v>
      </c>
      <c r="Z112" t="s">
        <v>715</v>
      </c>
      <c r="AA112" t="s">
        <v>716</v>
      </c>
      <c r="AB112" t="s">
        <v>715</v>
      </c>
      <c r="AC112" t="s">
        <v>715</v>
      </c>
      <c r="AD112" t="s">
        <v>770</v>
      </c>
      <c r="AE112" t="s">
        <v>750</v>
      </c>
      <c r="AF112" t="s">
        <v>715</v>
      </c>
      <c r="AG112" t="s">
        <v>715</v>
      </c>
      <c r="AH112" t="s">
        <v>771</v>
      </c>
    </row>
    <row r="113" spans="2:40" ht="29.1">
      <c r="B113" t="s">
        <v>863</v>
      </c>
      <c r="F113" s="60" t="s">
        <v>759</v>
      </c>
      <c r="G113" s="95" t="s">
        <v>986</v>
      </c>
      <c r="H113" s="60"/>
      <c r="I113" s="96"/>
      <c r="J113" s="96" t="s">
        <v>987</v>
      </c>
      <c r="K113" s="93">
        <v>46022</v>
      </c>
      <c r="L113" t="s">
        <v>966</v>
      </c>
      <c r="M113" t="s">
        <v>988</v>
      </c>
      <c r="N113" t="s">
        <v>989</v>
      </c>
      <c r="O113" t="s">
        <v>946</v>
      </c>
      <c r="P113" t="s">
        <v>765</v>
      </c>
      <c r="Q113" t="s">
        <v>715</v>
      </c>
      <c r="R113" t="s">
        <v>990</v>
      </c>
      <c r="S113" t="s">
        <v>778</v>
      </c>
      <c r="X113" t="s">
        <v>715</v>
      </c>
      <c r="Y113" t="s">
        <v>715</v>
      </c>
      <c r="Z113" t="s">
        <v>716</v>
      </c>
      <c r="AA113" t="s">
        <v>716</v>
      </c>
      <c r="AB113" t="s">
        <v>715</v>
      </c>
      <c r="AC113" t="s">
        <v>715</v>
      </c>
      <c r="AD113" t="s">
        <v>770</v>
      </c>
      <c r="AE113" t="s">
        <v>750</v>
      </c>
      <c r="AF113" t="s">
        <v>715</v>
      </c>
      <c r="AG113" t="s">
        <v>715</v>
      </c>
      <c r="AH113" t="s">
        <v>771</v>
      </c>
    </row>
    <row r="114" spans="2:40" ht="29.1">
      <c r="B114" t="s">
        <v>863</v>
      </c>
      <c r="F114" s="60" t="s">
        <v>759</v>
      </c>
      <c r="G114" s="95" t="s">
        <v>991</v>
      </c>
      <c r="H114" s="60"/>
      <c r="I114" s="96"/>
      <c r="J114" s="96" t="s">
        <v>992</v>
      </c>
      <c r="K114" s="93">
        <v>46022</v>
      </c>
      <c r="L114" t="s">
        <v>966</v>
      </c>
      <c r="M114" t="s">
        <v>993</v>
      </c>
      <c r="N114" t="s">
        <v>989</v>
      </c>
      <c r="O114" t="s">
        <v>946</v>
      </c>
      <c r="P114" t="s">
        <v>765</v>
      </c>
      <c r="Q114" t="s">
        <v>715</v>
      </c>
      <c r="R114" t="s">
        <v>994</v>
      </c>
      <c r="S114" t="s">
        <v>778</v>
      </c>
      <c r="X114" t="s">
        <v>715</v>
      </c>
      <c r="Y114" t="s">
        <v>715</v>
      </c>
      <c r="Z114" t="s">
        <v>716</v>
      </c>
      <c r="AA114" t="s">
        <v>716</v>
      </c>
      <c r="AB114" t="s">
        <v>715</v>
      </c>
      <c r="AC114" t="s">
        <v>715</v>
      </c>
      <c r="AD114" t="s">
        <v>770</v>
      </c>
      <c r="AE114" t="s">
        <v>750</v>
      </c>
      <c r="AF114" t="s">
        <v>715</v>
      </c>
      <c r="AG114" t="s">
        <v>715</v>
      </c>
      <c r="AH114" t="s">
        <v>771</v>
      </c>
    </row>
    <row r="115" spans="2:40" ht="57.95">
      <c r="B115" t="s">
        <v>995</v>
      </c>
      <c r="E115" t="s">
        <v>726</v>
      </c>
      <c r="F115" s="60" t="s">
        <v>996</v>
      </c>
      <c r="G115" s="60" t="s">
        <v>997</v>
      </c>
      <c r="H115" s="60"/>
      <c r="I115" s="96">
        <v>700085</v>
      </c>
      <c r="J115" s="96" t="s">
        <v>741</v>
      </c>
      <c r="K115" s="93">
        <v>46022</v>
      </c>
      <c r="L115" t="s">
        <v>998</v>
      </c>
      <c r="M115" t="s">
        <v>999</v>
      </c>
      <c r="N115" t="s">
        <v>712</v>
      </c>
      <c r="O115" t="s">
        <v>1000</v>
      </c>
      <c r="R115" t="s">
        <v>871</v>
      </c>
      <c r="S115" t="s">
        <v>715</v>
      </c>
      <c r="X115" t="s">
        <v>715</v>
      </c>
      <c r="Y115" t="s">
        <v>715</v>
      </c>
      <c r="Z115" t="s">
        <v>716</v>
      </c>
      <c r="AA115" t="s">
        <v>716</v>
      </c>
      <c r="AB115" t="s">
        <v>715</v>
      </c>
      <c r="AC115" t="s">
        <v>715</v>
      </c>
      <c r="AD115" t="s">
        <v>1001</v>
      </c>
      <c r="AE115" t="s">
        <v>750</v>
      </c>
      <c r="AF115" t="s">
        <v>715</v>
      </c>
      <c r="AG115" t="s">
        <v>716</v>
      </c>
      <c r="AH115" t="s">
        <v>715</v>
      </c>
      <c r="AI115" t="s">
        <v>716</v>
      </c>
      <c r="AJ115" t="s">
        <v>715</v>
      </c>
      <c r="AK115" t="s">
        <v>715</v>
      </c>
    </row>
    <row r="116" spans="2:40" ht="57.95">
      <c r="B116" t="s">
        <v>995</v>
      </c>
      <c r="E116" t="s">
        <v>726</v>
      </c>
      <c r="F116" s="60" t="s">
        <v>996</v>
      </c>
      <c r="G116" s="60" t="s">
        <v>1002</v>
      </c>
      <c r="H116" s="60"/>
      <c r="I116" s="96">
        <v>700085</v>
      </c>
      <c r="J116" s="96" t="s">
        <v>741</v>
      </c>
      <c r="K116" s="93">
        <v>46022</v>
      </c>
      <c r="L116" t="s">
        <v>998</v>
      </c>
      <c r="M116" t="s">
        <v>999</v>
      </c>
      <c r="N116" t="s">
        <v>712</v>
      </c>
      <c r="O116" t="s">
        <v>1000</v>
      </c>
      <c r="R116" t="s">
        <v>1003</v>
      </c>
      <c r="S116" t="s">
        <v>715</v>
      </c>
      <c r="X116" t="s">
        <v>715</v>
      </c>
      <c r="Y116" t="s">
        <v>715</v>
      </c>
      <c r="Z116" t="s">
        <v>716</v>
      </c>
      <c r="AA116" t="s">
        <v>716</v>
      </c>
      <c r="AB116" t="s">
        <v>715</v>
      </c>
      <c r="AC116" t="s">
        <v>715</v>
      </c>
      <c r="AD116" t="s">
        <v>1001</v>
      </c>
      <c r="AE116" t="s">
        <v>1004</v>
      </c>
      <c r="AF116" t="s">
        <v>715</v>
      </c>
      <c r="AG116" t="s">
        <v>716</v>
      </c>
      <c r="AH116" t="s">
        <v>715</v>
      </c>
      <c r="AI116" t="s">
        <v>716</v>
      </c>
      <c r="AJ116" t="s">
        <v>715</v>
      </c>
      <c r="AK116" t="s">
        <v>715</v>
      </c>
    </row>
    <row r="117" spans="2:40" ht="57.95">
      <c r="B117" t="s">
        <v>995</v>
      </c>
      <c r="E117" t="s">
        <v>726</v>
      </c>
      <c r="F117" s="60" t="s">
        <v>996</v>
      </c>
      <c r="G117" s="60" t="s">
        <v>997</v>
      </c>
      <c r="H117" s="60"/>
      <c r="I117" s="96">
        <v>208250</v>
      </c>
      <c r="J117" s="96" t="s">
        <v>741</v>
      </c>
      <c r="K117" s="93">
        <v>46022</v>
      </c>
      <c r="L117" t="s">
        <v>998</v>
      </c>
      <c r="M117" t="s">
        <v>1005</v>
      </c>
      <c r="N117" t="s">
        <v>712</v>
      </c>
      <c r="O117" t="s">
        <v>1006</v>
      </c>
      <c r="R117" t="s">
        <v>871</v>
      </c>
      <c r="S117" t="s">
        <v>715</v>
      </c>
      <c r="X117" t="s">
        <v>715</v>
      </c>
      <c r="Y117" t="s">
        <v>715</v>
      </c>
      <c r="Z117" t="s">
        <v>716</v>
      </c>
      <c r="AA117" t="s">
        <v>716</v>
      </c>
      <c r="AB117" t="s">
        <v>715</v>
      </c>
      <c r="AC117" t="s">
        <v>715</v>
      </c>
      <c r="AD117" t="s">
        <v>1001</v>
      </c>
      <c r="AE117" t="s">
        <v>750</v>
      </c>
      <c r="AF117" t="s">
        <v>715</v>
      </c>
      <c r="AG117" t="s">
        <v>716</v>
      </c>
      <c r="AH117" t="s">
        <v>715</v>
      </c>
      <c r="AI117" t="s">
        <v>716</v>
      </c>
      <c r="AJ117" t="s">
        <v>715</v>
      </c>
      <c r="AK117" t="s">
        <v>715</v>
      </c>
    </row>
    <row r="118" spans="2:40" ht="57.95">
      <c r="B118" t="s">
        <v>995</v>
      </c>
      <c r="E118" t="s">
        <v>726</v>
      </c>
      <c r="F118" s="60" t="s">
        <v>996</v>
      </c>
      <c r="G118" s="60" t="s">
        <v>1002</v>
      </c>
      <c r="H118" s="60"/>
      <c r="I118" s="96">
        <v>208250</v>
      </c>
      <c r="J118" s="96" t="s">
        <v>741</v>
      </c>
      <c r="K118" s="93">
        <v>46022</v>
      </c>
      <c r="L118" t="s">
        <v>998</v>
      </c>
      <c r="M118" t="s">
        <v>1005</v>
      </c>
      <c r="N118" t="s">
        <v>712</v>
      </c>
      <c r="O118" t="s">
        <v>1006</v>
      </c>
      <c r="R118" t="s">
        <v>1003</v>
      </c>
      <c r="S118" t="s">
        <v>715</v>
      </c>
      <c r="X118" t="s">
        <v>715</v>
      </c>
      <c r="Y118" t="s">
        <v>715</v>
      </c>
      <c r="Z118" t="s">
        <v>716</v>
      </c>
      <c r="AA118" t="s">
        <v>716</v>
      </c>
      <c r="AB118" t="s">
        <v>715</v>
      </c>
      <c r="AC118" t="s">
        <v>715</v>
      </c>
      <c r="AD118" t="s">
        <v>1001</v>
      </c>
      <c r="AE118" t="s">
        <v>1004</v>
      </c>
      <c r="AF118" t="s">
        <v>715</v>
      </c>
      <c r="AG118" t="s">
        <v>716</v>
      </c>
      <c r="AH118" t="s">
        <v>715</v>
      </c>
      <c r="AI118" t="s">
        <v>716</v>
      </c>
      <c r="AJ118" t="s">
        <v>715</v>
      </c>
      <c r="AK118" t="s">
        <v>715</v>
      </c>
    </row>
    <row r="119" spans="2:40">
      <c r="B119" t="s">
        <v>995</v>
      </c>
      <c r="F119" s="60" t="s">
        <v>996</v>
      </c>
      <c r="G119" s="60" t="s">
        <v>1007</v>
      </c>
      <c r="H119" s="60"/>
      <c r="I119" s="96">
        <v>208250</v>
      </c>
      <c r="J119" s="96" t="s">
        <v>741</v>
      </c>
      <c r="K119" s="93">
        <v>46022</v>
      </c>
      <c r="L119" t="s">
        <v>998</v>
      </c>
      <c r="M119" t="s">
        <v>1008</v>
      </c>
      <c r="N119" t="s">
        <v>712</v>
      </c>
      <c r="O119" t="s">
        <v>1006</v>
      </c>
      <c r="R119" t="s">
        <v>1003</v>
      </c>
      <c r="S119" t="s">
        <v>715</v>
      </c>
      <c r="X119" t="s">
        <v>715</v>
      </c>
      <c r="Y119" t="s">
        <v>715</v>
      </c>
      <c r="Z119" t="s">
        <v>716</v>
      </c>
      <c r="AA119" t="s">
        <v>716</v>
      </c>
      <c r="AB119" t="s">
        <v>715</v>
      </c>
      <c r="AC119" t="s">
        <v>715</v>
      </c>
      <c r="AD119" t="s">
        <v>1001</v>
      </c>
      <c r="AE119" t="s">
        <v>1009</v>
      </c>
      <c r="AF119" t="s">
        <v>715</v>
      </c>
      <c r="AG119" t="s">
        <v>715</v>
      </c>
      <c r="AH119" t="s">
        <v>715</v>
      </c>
      <c r="AI119" t="s">
        <v>715</v>
      </c>
      <c r="AJ119" t="s">
        <v>715</v>
      </c>
      <c r="AK119" t="s">
        <v>715</v>
      </c>
    </row>
    <row r="120" spans="2:40">
      <c r="B120" t="s">
        <v>995</v>
      </c>
      <c r="F120" s="60" t="s">
        <v>996</v>
      </c>
      <c r="G120" s="98" t="s">
        <v>1010</v>
      </c>
      <c r="H120" s="98"/>
      <c r="I120" s="99" t="s">
        <v>1011</v>
      </c>
      <c r="J120" s="96" t="s">
        <v>741</v>
      </c>
      <c r="K120" s="93">
        <v>46022</v>
      </c>
      <c r="L120" t="s">
        <v>998</v>
      </c>
      <c r="M120" t="s">
        <v>999</v>
      </c>
      <c r="N120" t="s">
        <v>712</v>
      </c>
      <c r="O120" t="s">
        <v>1000</v>
      </c>
      <c r="P120" s="100"/>
      <c r="Q120" s="100"/>
      <c r="R120" t="s">
        <v>871</v>
      </c>
      <c r="S120" s="100" t="s">
        <v>715</v>
      </c>
      <c r="T120" s="100"/>
      <c r="U120" s="100"/>
      <c r="V120" s="100"/>
      <c r="W120" s="100"/>
      <c r="X120" s="100" t="s">
        <v>716</v>
      </c>
      <c r="Y120" t="s">
        <v>715</v>
      </c>
      <c r="Z120" s="100" t="s">
        <v>716</v>
      </c>
      <c r="AA120" s="100" t="s">
        <v>716</v>
      </c>
      <c r="AB120" s="100" t="s">
        <v>715</v>
      </c>
      <c r="AC120" s="100" t="s">
        <v>715</v>
      </c>
      <c r="AD120" s="100" t="s">
        <v>1001</v>
      </c>
      <c r="AE120" s="100" t="s">
        <v>750</v>
      </c>
      <c r="AF120" s="100" t="s">
        <v>715</v>
      </c>
      <c r="AG120" s="100" t="s">
        <v>1012</v>
      </c>
      <c r="AH120" s="100" t="s">
        <v>715</v>
      </c>
      <c r="AI120" s="100" t="s">
        <v>715</v>
      </c>
      <c r="AJ120" s="100" t="s">
        <v>715</v>
      </c>
      <c r="AK120" s="100" t="s">
        <v>715</v>
      </c>
      <c r="AL120" s="100"/>
      <c r="AM120" s="100"/>
      <c r="AN120" s="100"/>
    </row>
    <row r="121" spans="2:40">
      <c r="B121" t="s">
        <v>995</v>
      </c>
      <c r="F121" s="60" t="s">
        <v>996</v>
      </c>
      <c r="G121" s="60" t="s">
        <v>1013</v>
      </c>
      <c r="H121" s="60"/>
      <c r="I121" s="96" t="s">
        <v>1014</v>
      </c>
      <c r="J121" s="96" t="s">
        <v>1015</v>
      </c>
      <c r="K121" s="93">
        <v>46022</v>
      </c>
      <c r="L121" t="s">
        <v>1016</v>
      </c>
      <c r="M121" t="s">
        <v>1017</v>
      </c>
      <c r="N121" t="s">
        <v>1018</v>
      </c>
      <c r="O121" t="s">
        <v>1006</v>
      </c>
      <c r="R121" t="s">
        <v>1019</v>
      </c>
      <c r="S121" t="s">
        <v>715</v>
      </c>
      <c r="X121" t="s">
        <v>715</v>
      </c>
      <c r="Y121" t="s">
        <v>715</v>
      </c>
      <c r="Z121" t="s">
        <v>716</v>
      </c>
      <c r="AA121" t="s">
        <v>716</v>
      </c>
      <c r="AB121" t="s">
        <v>715</v>
      </c>
      <c r="AC121" t="s">
        <v>715</v>
      </c>
      <c r="AD121" t="s">
        <v>1001</v>
      </c>
      <c r="AE121" s="100" t="s">
        <v>750</v>
      </c>
      <c r="AF121" t="s">
        <v>1012</v>
      </c>
      <c r="AG121" t="s">
        <v>715</v>
      </c>
      <c r="AH121" t="s">
        <v>715</v>
      </c>
      <c r="AI121" t="s">
        <v>715</v>
      </c>
      <c r="AJ121" t="s">
        <v>715</v>
      </c>
      <c r="AK121" t="s">
        <v>715</v>
      </c>
    </row>
    <row r="122" spans="2:40" ht="29.1">
      <c r="B122" t="s">
        <v>995</v>
      </c>
      <c r="F122" s="60" t="s">
        <v>996</v>
      </c>
      <c r="G122" s="60" t="s">
        <v>1020</v>
      </c>
      <c r="H122" s="60"/>
      <c r="I122" s="96" t="s">
        <v>1014</v>
      </c>
      <c r="J122" s="96" t="s">
        <v>741</v>
      </c>
      <c r="K122" s="93">
        <v>46022</v>
      </c>
      <c r="L122" t="s">
        <v>1016</v>
      </c>
      <c r="M122" t="s">
        <v>1017</v>
      </c>
      <c r="N122" t="s">
        <v>1018</v>
      </c>
      <c r="O122" t="s">
        <v>1006</v>
      </c>
      <c r="R122" t="s">
        <v>1019</v>
      </c>
      <c r="S122" t="s">
        <v>715</v>
      </c>
      <c r="X122" t="s">
        <v>715</v>
      </c>
      <c r="Y122" t="s">
        <v>715</v>
      </c>
      <c r="Z122" t="s">
        <v>716</v>
      </c>
      <c r="AA122" t="s">
        <v>716</v>
      </c>
      <c r="AB122" t="s">
        <v>715</v>
      </c>
      <c r="AC122" t="s">
        <v>715</v>
      </c>
      <c r="AD122" t="s">
        <v>1001</v>
      </c>
      <c r="AE122" s="100" t="s">
        <v>750</v>
      </c>
      <c r="AF122" t="s">
        <v>1012</v>
      </c>
      <c r="AG122" t="s">
        <v>1012</v>
      </c>
      <c r="AH122" t="s">
        <v>715</v>
      </c>
      <c r="AI122" t="s">
        <v>715</v>
      </c>
      <c r="AJ122" t="s">
        <v>715</v>
      </c>
      <c r="AK122" t="s">
        <v>715</v>
      </c>
    </row>
    <row r="123" spans="2:40" ht="57.95">
      <c r="B123" t="s">
        <v>995</v>
      </c>
      <c r="E123" t="s">
        <v>726</v>
      </c>
      <c r="F123" s="60" t="s">
        <v>996</v>
      </c>
      <c r="G123" s="60" t="s">
        <v>1021</v>
      </c>
      <c r="H123" s="60"/>
      <c r="I123" s="96" t="s">
        <v>1022</v>
      </c>
      <c r="J123" s="96" t="s">
        <v>741</v>
      </c>
      <c r="K123" s="93">
        <v>46022</v>
      </c>
      <c r="L123" t="s">
        <v>998</v>
      </c>
      <c r="M123" t="s">
        <v>999</v>
      </c>
      <c r="N123" t="s">
        <v>712</v>
      </c>
      <c r="O123" t="s">
        <v>1000</v>
      </c>
      <c r="R123" t="s">
        <v>871</v>
      </c>
      <c r="S123" t="s">
        <v>715</v>
      </c>
      <c r="X123" t="s">
        <v>715</v>
      </c>
      <c r="Y123" t="s">
        <v>715</v>
      </c>
      <c r="Z123" t="s">
        <v>716</v>
      </c>
      <c r="AA123" t="s">
        <v>716</v>
      </c>
      <c r="AB123" t="s">
        <v>715</v>
      </c>
      <c r="AC123" t="s">
        <v>715</v>
      </c>
      <c r="AD123" t="s">
        <v>1001</v>
      </c>
      <c r="AE123" t="s">
        <v>1023</v>
      </c>
      <c r="AF123" t="s">
        <v>715</v>
      </c>
      <c r="AG123" t="s">
        <v>716</v>
      </c>
      <c r="AH123" t="s">
        <v>715</v>
      </c>
      <c r="AI123" t="s">
        <v>716</v>
      </c>
      <c r="AJ123" t="s">
        <v>715</v>
      </c>
      <c r="AK123" t="s">
        <v>715</v>
      </c>
    </row>
    <row r="124" spans="2:40" ht="29.1">
      <c r="B124" t="s">
        <v>995</v>
      </c>
      <c r="F124" s="60" t="s">
        <v>996</v>
      </c>
      <c r="G124" s="60" t="s">
        <v>1024</v>
      </c>
      <c r="H124" s="60"/>
      <c r="I124" s="96" t="s">
        <v>1025</v>
      </c>
      <c r="J124" s="96" t="s">
        <v>1026</v>
      </c>
      <c r="K124" s="93">
        <v>46022</v>
      </c>
      <c r="L124" t="s">
        <v>1027</v>
      </c>
      <c r="M124" t="s">
        <v>1027</v>
      </c>
      <c r="N124" t="s">
        <v>955</v>
      </c>
      <c r="O124" t="s">
        <v>1028</v>
      </c>
      <c r="R124" t="s">
        <v>1029</v>
      </c>
      <c r="S124" t="s">
        <v>715</v>
      </c>
      <c r="X124" t="s">
        <v>715</v>
      </c>
      <c r="Y124" t="s">
        <v>715</v>
      </c>
      <c r="Z124" t="s">
        <v>715</v>
      </c>
      <c r="AA124" t="s">
        <v>716</v>
      </c>
      <c r="AB124" t="s">
        <v>715</v>
      </c>
      <c r="AC124" t="s">
        <v>715</v>
      </c>
      <c r="AD124" t="s">
        <v>1001</v>
      </c>
      <c r="AE124" t="s">
        <v>1030</v>
      </c>
      <c r="AF124" t="s">
        <v>715</v>
      </c>
      <c r="AG124" t="s">
        <v>715</v>
      </c>
      <c r="AH124" t="s">
        <v>715</v>
      </c>
      <c r="AI124" t="s">
        <v>715</v>
      </c>
      <c r="AJ124" t="s">
        <v>715</v>
      </c>
      <c r="AK124" t="s">
        <v>715</v>
      </c>
    </row>
    <row r="125" spans="2:40" ht="29.1">
      <c r="B125" t="s">
        <v>995</v>
      </c>
      <c r="F125" s="60" t="s">
        <v>996</v>
      </c>
      <c r="G125" s="60" t="s">
        <v>1031</v>
      </c>
      <c r="H125" s="60"/>
      <c r="I125" s="96" t="s">
        <v>1032</v>
      </c>
      <c r="J125" s="96" t="s">
        <v>1033</v>
      </c>
      <c r="K125" s="93">
        <v>46022</v>
      </c>
      <c r="L125" t="s">
        <v>1027</v>
      </c>
      <c r="M125" t="s">
        <v>1027</v>
      </c>
      <c r="N125" t="s">
        <v>955</v>
      </c>
      <c r="O125" t="s">
        <v>1028</v>
      </c>
      <c r="R125" t="s">
        <v>1029</v>
      </c>
      <c r="S125" t="s">
        <v>715</v>
      </c>
      <c r="X125" t="s">
        <v>715</v>
      </c>
      <c r="Y125" t="s">
        <v>715</v>
      </c>
      <c r="Z125" t="s">
        <v>715</v>
      </c>
      <c r="AA125" t="s">
        <v>716</v>
      </c>
      <c r="AB125" t="s">
        <v>715</v>
      </c>
      <c r="AC125" t="s">
        <v>715</v>
      </c>
      <c r="AD125" t="s">
        <v>1001</v>
      </c>
      <c r="AE125" t="s">
        <v>1030</v>
      </c>
      <c r="AF125" t="s">
        <v>715</v>
      </c>
      <c r="AG125" t="s">
        <v>715</v>
      </c>
      <c r="AH125" t="s">
        <v>715</v>
      </c>
      <c r="AI125" t="s">
        <v>715</v>
      </c>
      <c r="AJ125" t="s">
        <v>715</v>
      </c>
      <c r="AK125" t="s">
        <v>715</v>
      </c>
    </row>
    <row r="126" spans="2:40">
      <c r="B126" t="s">
        <v>995</v>
      </c>
      <c r="E126" t="s">
        <v>726</v>
      </c>
      <c r="F126" s="60" t="s">
        <v>996</v>
      </c>
      <c r="G126" s="60" t="s">
        <v>1034</v>
      </c>
      <c r="H126" s="60"/>
      <c r="I126" s="96" t="s">
        <v>1035</v>
      </c>
      <c r="J126" s="96" t="s">
        <v>741</v>
      </c>
      <c r="K126" s="93">
        <v>46022</v>
      </c>
      <c r="L126" t="s">
        <v>998</v>
      </c>
      <c r="M126" t="s">
        <v>999</v>
      </c>
      <c r="N126" t="s">
        <v>712</v>
      </c>
      <c r="O126" t="s">
        <v>1000</v>
      </c>
      <c r="R126" t="s">
        <v>871</v>
      </c>
      <c r="S126" t="s">
        <v>715</v>
      </c>
      <c r="X126" t="s">
        <v>715</v>
      </c>
      <c r="Y126" t="s">
        <v>715</v>
      </c>
      <c r="Z126" t="s">
        <v>715</v>
      </c>
      <c r="AA126" t="s">
        <v>716</v>
      </c>
      <c r="AB126" t="s">
        <v>715</v>
      </c>
      <c r="AC126" t="s">
        <v>715</v>
      </c>
      <c r="AD126" t="s">
        <v>1001</v>
      </c>
      <c r="AE126" t="s">
        <v>1030</v>
      </c>
      <c r="AF126" t="s">
        <v>715</v>
      </c>
      <c r="AG126" t="s">
        <v>716</v>
      </c>
      <c r="AH126" t="s">
        <v>715</v>
      </c>
      <c r="AI126" t="s">
        <v>715</v>
      </c>
      <c r="AJ126" t="s">
        <v>715</v>
      </c>
      <c r="AK126" t="s">
        <v>715</v>
      </c>
    </row>
    <row r="127" spans="2:40" ht="29.1">
      <c r="B127" t="s">
        <v>995</v>
      </c>
      <c r="F127" s="60" t="s">
        <v>996</v>
      </c>
      <c r="G127" s="60" t="s">
        <v>1036</v>
      </c>
      <c r="H127" s="60"/>
      <c r="I127" s="96" t="s">
        <v>1037</v>
      </c>
      <c r="J127" s="96" t="s">
        <v>1038</v>
      </c>
      <c r="K127" s="93">
        <v>45657</v>
      </c>
      <c r="L127" t="s">
        <v>998</v>
      </c>
      <c r="M127" t="s">
        <v>999</v>
      </c>
      <c r="N127" t="s">
        <v>712</v>
      </c>
      <c r="O127" t="s">
        <v>1000</v>
      </c>
      <c r="R127" t="s">
        <v>871</v>
      </c>
      <c r="S127" t="s">
        <v>715</v>
      </c>
      <c r="X127" t="s">
        <v>715</v>
      </c>
      <c r="Y127" t="s">
        <v>716</v>
      </c>
      <c r="Z127" t="s">
        <v>715</v>
      </c>
      <c r="AA127" t="s">
        <v>716</v>
      </c>
      <c r="AB127" t="s">
        <v>715</v>
      </c>
      <c r="AC127" t="s">
        <v>715</v>
      </c>
      <c r="AD127" t="s">
        <v>1001</v>
      </c>
      <c r="AE127" t="s">
        <v>1030</v>
      </c>
      <c r="AF127" t="s">
        <v>715</v>
      </c>
      <c r="AG127" t="s">
        <v>716</v>
      </c>
      <c r="AH127" t="s">
        <v>715</v>
      </c>
      <c r="AI127" t="s">
        <v>716</v>
      </c>
      <c r="AJ127" t="s">
        <v>715</v>
      </c>
      <c r="AK127" t="s">
        <v>715</v>
      </c>
    </row>
    <row r="128" spans="2:40" ht="57.95">
      <c r="B128" t="s">
        <v>995</v>
      </c>
      <c r="E128" t="s">
        <v>726</v>
      </c>
      <c r="F128" s="60" t="s">
        <v>996</v>
      </c>
      <c r="G128" s="60" t="s">
        <v>1039</v>
      </c>
      <c r="H128" s="60"/>
      <c r="I128" s="96" t="s">
        <v>1040</v>
      </c>
      <c r="J128" s="96" t="s">
        <v>1041</v>
      </c>
      <c r="K128" s="93">
        <v>45747</v>
      </c>
      <c r="L128" t="s">
        <v>998</v>
      </c>
      <c r="M128" t="s">
        <v>999</v>
      </c>
      <c r="N128" t="s">
        <v>712</v>
      </c>
      <c r="O128" t="s">
        <v>1000</v>
      </c>
      <c r="R128" t="s">
        <v>871</v>
      </c>
      <c r="S128" t="s">
        <v>715</v>
      </c>
      <c r="X128" t="s">
        <v>715</v>
      </c>
      <c r="Y128" t="s">
        <v>715</v>
      </c>
      <c r="Z128" t="s">
        <v>716</v>
      </c>
      <c r="AA128" t="s">
        <v>716</v>
      </c>
      <c r="AB128" t="s">
        <v>715</v>
      </c>
      <c r="AC128" t="s">
        <v>715</v>
      </c>
      <c r="AD128" t="s">
        <v>1001</v>
      </c>
      <c r="AE128" t="s">
        <v>750</v>
      </c>
      <c r="AF128" t="s">
        <v>715</v>
      </c>
      <c r="AG128" t="s">
        <v>715</v>
      </c>
      <c r="AH128" t="s">
        <v>715</v>
      </c>
      <c r="AI128" t="s">
        <v>716</v>
      </c>
      <c r="AJ128" t="s">
        <v>715</v>
      </c>
      <c r="AK128" t="s">
        <v>715</v>
      </c>
    </row>
    <row r="129" spans="2:37" ht="57.95">
      <c r="B129" t="s">
        <v>995</v>
      </c>
      <c r="E129" t="s">
        <v>726</v>
      </c>
      <c r="F129" s="60" t="s">
        <v>996</v>
      </c>
      <c r="G129" s="60" t="s">
        <v>1042</v>
      </c>
      <c r="H129" s="60"/>
      <c r="I129" s="96" t="s">
        <v>1043</v>
      </c>
      <c r="J129" s="96" t="s">
        <v>1044</v>
      </c>
      <c r="K129" s="93">
        <v>45657</v>
      </c>
      <c r="L129" t="s">
        <v>998</v>
      </c>
      <c r="M129" t="s">
        <v>999</v>
      </c>
      <c r="N129" t="s">
        <v>712</v>
      </c>
      <c r="O129" t="s">
        <v>1000</v>
      </c>
      <c r="R129" t="s">
        <v>871</v>
      </c>
      <c r="S129" t="s">
        <v>715</v>
      </c>
      <c r="X129" t="s">
        <v>715</v>
      </c>
      <c r="Y129" t="s">
        <v>715</v>
      </c>
      <c r="Z129" t="s">
        <v>716</v>
      </c>
      <c r="AA129" t="s">
        <v>716</v>
      </c>
      <c r="AB129" t="s">
        <v>715</v>
      </c>
      <c r="AC129" t="s">
        <v>715</v>
      </c>
      <c r="AD129" t="s">
        <v>1001</v>
      </c>
      <c r="AE129" t="s">
        <v>1045</v>
      </c>
      <c r="AF129" t="s">
        <v>715</v>
      </c>
      <c r="AG129" t="s">
        <v>715</v>
      </c>
      <c r="AH129" t="s">
        <v>715</v>
      </c>
      <c r="AI129" t="s">
        <v>716</v>
      </c>
      <c r="AJ129" t="s">
        <v>715</v>
      </c>
      <c r="AK129" t="s">
        <v>715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FE58-2896-4007-A523-838A2BC99023}">
  <sheetPr>
    <tabColor rgb="FF92D050"/>
  </sheetPr>
  <dimension ref="A1:N41"/>
  <sheetViews>
    <sheetView topLeftCell="A29" workbookViewId="0">
      <selection activeCell="G41" sqref="G41"/>
    </sheetView>
  </sheetViews>
  <sheetFormatPr defaultColWidth="8.7109375" defaultRowHeight="14.45"/>
  <cols>
    <col min="2" max="2" width="14" customWidth="1"/>
    <col min="3" max="3" width="19.7109375" customWidth="1"/>
    <col min="4" max="4" width="29" customWidth="1"/>
    <col min="5" max="5" width="22.7109375" customWidth="1"/>
    <col min="6" max="6" width="38" customWidth="1"/>
    <col min="7" max="7" width="25.42578125" customWidth="1"/>
    <col min="8" max="8" width="15.28515625" customWidth="1"/>
    <col min="9" max="9" width="57.28515625" customWidth="1"/>
    <col min="10" max="10" width="25.28515625" customWidth="1"/>
  </cols>
  <sheetData>
    <row r="1" spans="1:14" ht="35.450000000000003" thickBot="1">
      <c r="A1" s="18" t="s">
        <v>392</v>
      </c>
      <c r="B1" s="18" t="s">
        <v>393</v>
      </c>
      <c r="C1" s="18" t="s">
        <v>394</v>
      </c>
      <c r="D1" s="18" t="s">
        <v>395</v>
      </c>
      <c r="E1" s="18" t="s">
        <v>396</v>
      </c>
      <c r="F1" s="19" t="s">
        <v>397</v>
      </c>
      <c r="G1" s="19" t="s">
        <v>398</v>
      </c>
      <c r="H1" s="19" t="s">
        <v>42</v>
      </c>
      <c r="I1" s="19" t="s">
        <v>399</v>
      </c>
      <c r="J1" s="20" t="s">
        <v>400</v>
      </c>
    </row>
    <row r="2" spans="1:14" ht="18" thickBot="1">
      <c r="A2" s="21" t="s">
        <v>401</v>
      </c>
      <c r="B2" s="22" t="s">
        <v>402</v>
      </c>
      <c r="C2" s="21" t="s">
        <v>403</v>
      </c>
      <c r="D2" s="21" t="s">
        <v>404</v>
      </c>
      <c r="E2" s="23" t="s">
        <v>405</v>
      </c>
      <c r="F2" s="24"/>
      <c r="G2" s="24"/>
      <c r="H2" s="24" t="s">
        <v>576</v>
      </c>
      <c r="I2" s="24"/>
      <c r="J2" s="25"/>
    </row>
    <row r="3" spans="1:14" ht="17.25">
      <c r="A3" s="21" t="s">
        <v>401</v>
      </c>
      <c r="B3" s="22" t="s">
        <v>345</v>
      </c>
      <c r="C3" s="21" t="s">
        <v>406</v>
      </c>
      <c r="D3" s="21" t="s">
        <v>407</v>
      </c>
      <c r="E3" s="23" t="s">
        <v>408</v>
      </c>
      <c r="F3" s="28" t="s">
        <v>13</v>
      </c>
      <c r="G3" s="28" t="s">
        <v>13</v>
      </c>
      <c r="H3" s="24" t="s">
        <v>576</v>
      </c>
      <c r="I3" s="24" t="s">
        <v>1046</v>
      </c>
      <c r="J3" s="31"/>
      <c r="M3">
        <v>4</v>
      </c>
      <c r="N3">
        <v>40</v>
      </c>
    </row>
    <row r="4" spans="1:14" ht="17.25">
      <c r="A4" s="21" t="s">
        <v>401</v>
      </c>
      <c r="B4" s="26" t="s">
        <v>410</v>
      </c>
      <c r="C4" s="27" t="s">
        <v>411</v>
      </c>
      <c r="D4" s="27" t="s">
        <v>412</v>
      </c>
      <c r="E4" s="27" t="s">
        <v>413</v>
      </c>
      <c r="F4" s="24"/>
      <c r="G4" s="24"/>
      <c r="H4" s="103" t="s">
        <v>576</v>
      </c>
      <c r="I4" s="28"/>
      <c r="J4" s="31"/>
    </row>
    <row r="5" spans="1:14" ht="17.25">
      <c r="A5" s="21" t="s">
        <v>401</v>
      </c>
      <c r="B5" s="26" t="s">
        <v>345</v>
      </c>
      <c r="C5" s="27" t="s">
        <v>414</v>
      </c>
      <c r="D5" s="27" t="s">
        <v>407</v>
      </c>
      <c r="E5" s="27" t="s">
        <v>415</v>
      </c>
      <c r="F5" s="28" t="s">
        <v>13</v>
      </c>
      <c r="G5" s="28" t="s">
        <v>13</v>
      </c>
      <c r="H5" s="103" t="s">
        <v>576</v>
      </c>
      <c r="I5" s="29" t="s">
        <v>1047</v>
      </c>
      <c r="J5" s="25"/>
    </row>
    <row r="6" spans="1:14" ht="18" thickBot="1">
      <c r="A6" s="21" t="s">
        <v>401</v>
      </c>
      <c r="B6" s="26" t="s">
        <v>416</v>
      </c>
      <c r="C6" s="30" t="s">
        <v>417</v>
      </c>
      <c r="D6" s="27" t="s">
        <v>404</v>
      </c>
      <c r="E6" s="27" t="s">
        <v>418</v>
      </c>
      <c r="F6" s="24"/>
      <c r="G6" s="24"/>
      <c r="H6" s="24"/>
      <c r="I6" s="24"/>
      <c r="J6" s="21"/>
    </row>
    <row r="7" spans="1:14" ht="17.25">
      <c r="A7" s="21" t="s">
        <v>401</v>
      </c>
      <c r="B7" s="26" t="s">
        <v>345</v>
      </c>
      <c r="C7" s="27" t="s">
        <v>406</v>
      </c>
      <c r="D7" s="27" t="s">
        <v>407</v>
      </c>
      <c r="E7" s="27" t="s">
        <v>419</v>
      </c>
      <c r="F7" s="28" t="s">
        <v>13</v>
      </c>
      <c r="G7" s="113" t="s">
        <v>1048</v>
      </c>
      <c r="H7" s="24" t="s">
        <v>576</v>
      </c>
      <c r="I7" s="24"/>
      <c r="J7" s="21"/>
    </row>
    <row r="8" spans="1:14" ht="17.25">
      <c r="A8" s="21" t="s">
        <v>401</v>
      </c>
      <c r="B8" s="26" t="s">
        <v>420</v>
      </c>
      <c r="C8" s="27" t="s">
        <v>406</v>
      </c>
      <c r="D8" s="27" t="s">
        <v>421</v>
      </c>
      <c r="E8" s="27" t="s">
        <v>422</v>
      </c>
      <c r="F8" s="28" t="s">
        <v>13</v>
      </c>
      <c r="G8" s="113" t="s">
        <v>1049</v>
      </c>
      <c r="H8" s="24" t="s">
        <v>576</v>
      </c>
      <c r="I8" s="24"/>
      <c r="J8" s="31"/>
    </row>
    <row r="9" spans="1:14" ht="18" thickBot="1">
      <c r="A9" s="21" t="s">
        <v>401</v>
      </c>
      <c r="B9" s="26"/>
      <c r="C9" s="27" t="s">
        <v>424</v>
      </c>
      <c r="D9" s="27" t="s">
        <v>404</v>
      </c>
      <c r="E9" s="27" t="s">
        <v>422</v>
      </c>
      <c r="F9" s="24"/>
      <c r="G9" s="24"/>
      <c r="H9" s="24"/>
      <c r="I9" s="24"/>
      <c r="J9" s="21"/>
    </row>
    <row r="10" spans="1:14" ht="18" thickBot="1">
      <c r="A10" s="21" t="s">
        <v>401</v>
      </c>
      <c r="B10" s="26" t="s">
        <v>425</v>
      </c>
      <c r="C10" s="27" t="s">
        <v>426</v>
      </c>
      <c r="D10" s="27" t="s">
        <v>404</v>
      </c>
      <c r="E10" s="27" t="s">
        <v>427</v>
      </c>
      <c r="F10" s="24"/>
      <c r="G10" s="24"/>
      <c r="H10" s="24"/>
      <c r="I10" s="24"/>
      <c r="J10" s="21"/>
    </row>
    <row r="11" spans="1:14" ht="17.25">
      <c r="A11" s="21" t="s">
        <v>401</v>
      </c>
      <c r="B11" s="26" t="s">
        <v>345</v>
      </c>
      <c r="C11" s="27" t="s">
        <v>406</v>
      </c>
      <c r="D11" s="27" t="s">
        <v>407</v>
      </c>
      <c r="E11" s="27" t="s">
        <v>429</v>
      </c>
      <c r="F11" s="28" t="s">
        <v>13</v>
      </c>
      <c r="G11" s="113" t="s">
        <v>1048</v>
      </c>
      <c r="H11" s="24" t="s">
        <v>576</v>
      </c>
      <c r="I11" s="24"/>
      <c r="J11" s="21"/>
    </row>
    <row r="12" spans="1:14" ht="17.25">
      <c r="A12" s="21" t="s">
        <v>401</v>
      </c>
      <c r="B12" s="26" t="s">
        <v>1050</v>
      </c>
      <c r="C12" s="27" t="s">
        <v>426</v>
      </c>
      <c r="D12" s="27" t="s">
        <v>404</v>
      </c>
      <c r="E12" s="27" t="s">
        <v>432</v>
      </c>
      <c r="F12" s="28" t="s">
        <v>13</v>
      </c>
      <c r="G12" s="28" t="s">
        <v>13</v>
      </c>
      <c r="H12" s="24" t="s">
        <v>796</v>
      </c>
      <c r="I12" s="24"/>
      <c r="J12" s="21"/>
    </row>
    <row r="13" spans="1:14" ht="17.25">
      <c r="A13" s="21" t="s">
        <v>401</v>
      </c>
      <c r="B13" s="26" t="s">
        <v>345</v>
      </c>
      <c r="C13" s="27" t="s">
        <v>406</v>
      </c>
      <c r="D13" s="27" t="s">
        <v>421</v>
      </c>
      <c r="E13" s="27" t="s">
        <v>433</v>
      </c>
      <c r="F13" s="28" t="s">
        <v>13</v>
      </c>
      <c r="G13" s="113" t="s">
        <v>1048</v>
      </c>
      <c r="H13" s="32" t="s">
        <v>576</v>
      </c>
      <c r="I13" s="32"/>
      <c r="J13" s="21"/>
    </row>
    <row r="14" spans="1:14" ht="61.5">
      <c r="A14" s="21" t="s">
        <v>401</v>
      </c>
      <c r="B14" s="26" t="s">
        <v>1051</v>
      </c>
      <c r="C14" s="27" t="s">
        <v>435</v>
      </c>
      <c r="D14" s="27" t="s">
        <v>412</v>
      </c>
      <c r="E14" s="27" t="s">
        <v>436</v>
      </c>
      <c r="F14" s="140" t="s">
        <v>1052</v>
      </c>
      <c r="G14" s="28" t="s">
        <v>13</v>
      </c>
      <c r="H14" s="24" t="s">
        <v>796</v>
      </c>
      <c r="I14" s="24"/>
      <c r="J14" s="21"/>
    </row>
    <row r="15" spans="1:14" ht="17.25">
      <c r="A15" s="21" t="s">
        <v>401</v>
      </c>
      <c r="B15" s="26" t="s">
        <v>437</v>
      </c>
      <c r="C15" s="21" t="s">
        <v>411</v>
      </c>
      <c r="D15" s="21" t="s">
        <v>404</v>
      </c>
      <c r="E15" s="23" t="s">
        <v>438</v>
      </c>
      <c r="F15" s="28" t="s">
        <v>84</v>
      </c>
      <c r="G15" s="28" t="s">
        <v>13</v>
      </c>
      <c r="H15" s="24" t="s">
        <v>796</v>
      </c>
      <c r="I15" s="24"/>
      <c r="J15" s="21"/>
    </row>
    <row r="16" spans="1:14" ht="35.25">
      <c r="A16" s="21" t="s">
        <v>401</v>
      </c>
      <c r="B16" s="26" t="s">
        <v>345</v>
      </c>
      <c r="C16" s="21" t="s">
        <v>414</v>
      </c>
      <c r="D16" s="21" t="s">
        <v>407</v>
      </c>
      <c r="E16" s="23" t="s">
        <v>440</v>
      </c>
      <c r="F16" s="111" t="s">
        <v>1053</v>
      </c>
      <c r="G16" s="24"/>
      <c r="H16" s="24" t="s">
        <v>576</v>
      </c>
      <c r="I16" s="24"/>
      <c r="J16" s="21"/>
    </row>
    <row r="17" spans="1:10" ht="17.25">
      <c r="A17" s="21" t="s">
        <v>401</v>
      </c>
      <c r="B17" s="26" t="s">
        <v>441</v>
      </c>
      <c r="C17" s="27" t="s">
        <v>442</v>
      </c>
      <c r="D17" s="27" t="s">
        <v>443</v>
      </c>
      <c r="E17" s="27" t="s">
        <v>444</v>
      </c>
      <c r="F17" s="28" t="s">
        <v>13</v>
      </c>
      <c r="G17" s="113" t="s">
        <v>1048</v>
      </c>
      <c r="H17" s="24" t="s">
        <v>576</v>
      </c>
      <c r="I17" s="24"/>
      <c r="J17" s="31"/>
    </row>
    <row r="18" spans="1:10" ht="18" thickBot="1">
      <c r="A18" s="21" t="s">
        <v>401</v>
      </c>
      <c r="B18" s="26" t="s">
        <v>345</v>
      </c>
      <c r="C18" s="27" t="s">
        <v>442</v>
      </c>
      <c r="D18" s="27" t="s">
        <v>445</v>
      </c>
      <c r="E18" s="27" t="s">
        <v>446</v>
      </c>
      <c r="F18" s="24"/>
      <c r="G18" s="24"/>
      <c r="H18" s="24"/>
      <c r="I18" s="24"/>
      <c r="J18" s="31"/>
    </row>
    <row r="19" spans="1:10" ht="69.75">
      <c r="A19" s="21" t="s">
        <v>401</v>
      </c>
      <c r="B19" s="26" t="s">
        <v>345</v>
      </c>
      <c r="C19" s="27" t="s">
        <v>442</v>
      </c>
      <c r="D19" s="27" t="s">
        <v>407</v>
      </c>
      <c r="E19" s="27" t="s">
        <v>448</v>
      </c>
      <c r="F19" s="111" t="s">
        <v>1054</v>
      </c>
      <c r="G19" s="24"/>
      <c r="H19" s="24" t="s">
        <v>576</v>
      </c>
      <c r="I19" s="24"/>
      <c r="J19" s="31"/>
    </row>
    <row r="20" spans="1:10" ht="17.25">
      <c r="A20" s="21" t="s">
        <v>401</v>
      </c>
      <c r="B20" s="26" t="s">
        <v>345</v>
      </c>
      <c r="C20" s="27" t="s">
        <v>442</v>
      </c>
      <c r="D20" s="27" t="s">
        <v>450</v>
      </c>
      <c r="E20" s="27" t="s">
        <v>444</v>
      </c>
      <c r="F20" s="24"/>
      <c r="G20" s="24"/>
      <c r="I20" s="24"/>
      <c r="J20" s="31"/>
    </row>
    <row r="21" spans="1:10" ht="18" thickBot="1">
      <c r="A21" s="21" t="s">
        <v>401</v>
      </c>
      <c r="B21" s="26" t="s">
        <v>345</v>
      </c>
      <c r="C21" s="27" t="s">
        <v>442</v>
      </c>
      <c r="D21" s="27" t="s">
        <v>451</v>
      </c>
      <c r="E21" s="27" t="s">
        <v>444</v>
      </c>
      <c r="F21" s="24"/>
      <c r="G21" s="24"/>
      <c r="H21" s="24"/>
      <c r="I21" s="24"/>
      <c r="J21" s="31"/>
    </row>
    <row r="22" spans="1:10" ht="18" thickBot="1">
      <c r="A22" s="21" t="s">
        <v>401</v>
      </c>
      <c r="B22" s="26" t="s">
        <v>345</v>
      </c>
      <c r="C22" s="27" t="s">
        <v>442</v>
      </c>
      <c r="D22" s="27" t="s">
        <v>452</v>
      </c>
      <c r="E22" s="27" t="s">
        <v>444</v>
      </c>
      <c r="F22" s="24"/>
      <c r="G22" s="24"/>
      <c r="H22" s="24"/>
      <c r="I22" s="24"/>
      <c r="J22" s="24"/>
    </row>
    <row r="23" spans="1:10" ht="17.25">
      <c r="A23" s="21" t="s">
        <v>401</v>
      </c>
      <c r="B23" s="26" t="s">
        <v>453</v>
      </c>
      <c r="C23" s="27" t="s">
        <v>442</v>
      </c>
      <c r="D23" s="27" t="s">
        <v>443</v>
      </c>
      <c r="E23" s="27" t="s">
        <v>444</v>
      </c>
      <c r="F23" s="24"/>
      <c r="G23" s="24"/>
      <c r="H23" s="24" t="s">
        <v>576</v>
      </c>
      <c r="I23" s="24"/>
      <c r="J23" s="31"/>
    </row>
    <row r="24" spans="1:10" ht="18" thickBot="1">
      <c r="A24" s="21" t="s">
        <v>401</v>
      </c>
      <c r="B24" s="26" t="s">
        <v>345</v>
      </c>
      <c r="C24" s="27" t="s">
        <v>442</v>
      </c>
      <c r="D24" s="27" t="s">
        <v>445</v>
      </c>
      <c r="E24" s="27" t="s">
        <v>446</v>
      </c>
      <c r="F24" s="24"/>
      <c r="G24" s="24"/>
      <c r="H24" s="24"/>
      <c r="I24" s="24"/>
      <c r="J24" s="24"/>
    </row>
    <row r="25" spans="1:10" ht="18" thickBot="1">
      <c r="A25" s="21" t="s">
        <v>401</v>
      </c>
      <c r="B25" s="26" t="s">
        <v>345</v>
      </c>
      <c r="C25" s="27" t="s">
        <v>442</v>
      </c>
      <c r="D25" s="27" t="s">
        <v>407</v>
      </c>
      <c r="E25" s="27" t="s">
        <v>455</v>
      </c>
      <c r="F25" s="24"/>
      <c r="G25" s="24"/>
      <c r="H25" s="24"/>
      <c r="I25" s="24"/>
      <c r="J25" s="24"/>
    </row>
    <row r="26" spans="1:10" ht="18" thickBot="1">
      <c r="A26" s="21" t="s">
        <v>401</v>
      </c>
      <c r="B26" s="26" t="s">
        <v>345</v>
      </c>
      <c r="C26" s="27" t="s">
        <v>442</v>
      </c>
      <c r="D26" s="27" t="s">
        <v>450</v>
      </c>
      <c r="E26" s="27" t="s">
        <v>444</v>
      </c>
      <c r="F26" s="24"/>
      <c r="G26" s="24"/>
      <c r="H26" s="32"/>
      <c r="I26" s="32"/>
      <c r="J26" s="24"/>
    </row>
    <row r="27" spans="1:10" ht="18" thickBot="1">
      <c r="A27" s="21" t="s">
        <v>401</v>
      </c>
      <c r="B27" s="26" t="s">
        <v>345</v>
      </c>
      <c r="C27" s="27" t="s">
        <v>442</v>
      </c>
      <c r="D27" s="27" t="s">
        <v>451</v>
      </c>
      <c r="E27" s="27" t="s">
        <v>444</v>
      </c>
      <c r="F27" s="24"/>
      <c r="G27" s="24"/>
      <c r="H27" s="24"/>
      <c r="I27" s="24"/>
      <c r="J27" s="24"/>
    </row>
    <row r="28" spans="1:10" ht="18" thickBot="1">
      <c r="A28" s="21" t="s">
        <v>401</v>
      </c>
      <c r="B28" s="22" t="s">
        <v>456</v>
      </c>
      <c r="C28" s="21" t="s">
        <v>442</v>
      </c>
      <c r="D28" s="21" t="s">
        <v>457</v>
      </c>
      <c r="E28" s="23" t="s">
        <v>444</v>
      </c>
      <c r="F28" s="24"/>
      <c r="G28" s="24"/>
      <c r="H28" s="24"/>
      <c r="I28" s="24"/>
      <c r="J28" s="31"/>
    </row>
    <row r="29" spans="1:10" ht="18" thickBot="1">
      <c r="A29" s="21" t="s">
        <v>401</v>
      </c>
      <c r="B29" s="22" t="s">
        <v>458</v>
      </c>
      <c r="C29" s="21" t="s">
        <v>442</v>
      </c>
      <c r="D29" s="21" t="s">
        <v>459</v>
      </c>
      <c r="E29" s="23" t="s">
        <v>444</v>
      </c>
      <c r="F29" s="24"/>
      <c r="G29" s="24"/>
      <c r="H29" s="24"/>
      <c r="I29" s="24"/>
      <c r="J29" s="31"/>
    </row>
    <row r="30" spans="1:10" ht="18" thickBot="1">
      <c r="A30" s="21" t="s">
        <v>401</v>
      </c>
      <c r="B30" s="26" t="s">
        <v>460</v>
      </c>
      <c r="C30" s="27" t="s">
        <v>461</v>
      </c>
      <c r="D30" s="27" t="s">
        <v>462</v>
      </c>
      <c r="E30" s="27" t="s">
        <v>463</v>
      </c>
      <c r="F30" s="24"/>
      <c r="G30" s="24"/>
      <c r="H30" s="24"/>
      <c r="I30" s="24"/>
      <c r="J30" s="31"/>
    </row>
    <row r="31" spans="1:10" ht="35.25">
      <c r="A31" s="21" t="s">
        <v>401</v>
      </c>
      <c r="B31" s="26" t="s">
        <v>465</v>
      </c>
      <c r="C31" s="27" t="s">
        <v>1055</v>
      </c>
      <c r="D31" s="27" t="s">
        <v>404</v>
      </c>
      <c r="E31" s="27" t="s">
        <v>466</v>
      </c>
      <c r="F31" s="24" t="s">
        <v>84</v>
      </c>
      <c r="G31" s="24" t="s">
        <v>13</v>
      </c>
      <c r="H31" s="24" t="s">
        <v>576</v>
      </c>
      <c r="I31" s="24"/>
      <c r="J31" s="24"/>
    </row>
    <row r="32" spans="1:10" ht="17.25">
      <c r="A32" s="21" t="s">
        <v>401</v>
      </c>
      <c r="B32" s="26" t="s">
        <v>345</v>
      </c>
      <c r="C32" s="27" t="s">
        <v>467</v>
      </c>
      <c r="D32" s="27" t="s">
        <v>421</v>
      </c>
      <c r="E32" s="27" t="s">
        <v>468</v>
      </c>
      <c r="F32" s="111" t="s">
        <v>1056</v>
      </c>
      <c r="G32" s="24"/>
      <c r="H32" s="24" t="s">
        <v>576</v>
      </c>
      <c r="I32" s="24"/>
      <c r="J32" s="24"/>
    </row>
    <row r="33" spans="1:10" ht="32.25" customHeight="1">
      <c r="A33" s="21" t="s">
        <v>401</v>
      </c>
      <c r="B33" s="26" t="s">
        <v>469</v>
      </c>
      <c r="C33" s="27" t="s">
        <v>1057</v>
      </c>
      <c r="D33" s="27" t="s">
        <v>404</v>
      </c>
      <c r="E33" s="27" t="s">
        <v>470</v>
      </c>
      <c r="F33" s="28" t="s">
        <v>13</v>
      </c>
      <c r="G33" s="141" t="s">
        <v>13</v>
      </c>
      <c r="H33" s="24" t="s">
        <v>576</v>
      </c>
      <c r="I33" s="24"/>
      <c r="J33" s="24"/>
    </row>
    <row r="34" spans="1:10" ht="35.25">
      <c r="A34" s="27" t="s">
        <v>471</v>
      </c>
      <c r="B34" s="26" t="s">
        <v>472</v>
      </c>
      <c r="C34" s="27" t="s">
        <v>1058</v>
      </c>
      <c r="D34" s="27" t="s">
        <v>474</v>
      </c>
      <c r="E34" s="27" t="s">
        <v>345</v>
      </c>
      <c r="F34" s="24"/>
      <c r="G34" s="24"/>
      <c r="H34" s="24"/>
      <c r="I34" s="24"/>
      <c r="J34" s="24"/>
    </row>
    <row r="35" spans="1:10" ht="18" thickBot="1">
      <c r="A35" s="27" t="s">
        <v>471</v>
      </c>
      <c r="B35" s="26" t="s">
        <v>475</v>
      </c>
      <c r="C35" s="27" t="s">
        <v>473</v>
      </c>
      <c r="D35" s="27" t="s">
        <v>476</v>
      </c>
      <c r="E35" s="27" t="s">
        <v>345</v>
      </c>
      <c r="F35" s="24"/>
      <c r="G35" s="24"/>
      <c r="H35" s="24"/>
      <c r="I35" s="24"/>
      <c r="J35" s="24"/>
    </row>
    <row r="36" spans="1:10" ht="18" thickBot="1">
      <c r="A36" s="27" t="s">
        <v>471</v>
      </c>
      <c r="B36" s="26" t="s">
        <v>477</v>
      </c>
      <c r="C36" s="27" t="s">
        <v>478</v>
      </c>
      <c r="D36" s="27" t="s">
        <v>479</v>
      </c>
      <c r="E36" s="27" t="s">
        <v>345</v>
      </c>
      <c r="F36" s="24"/>
      <c r="G36" s="24"/>
      <c r="H36" s="24"/>
      <c r="I36" s="24"/>
      <c r="J36" s="24"/>
    </row>
    <row r="37" spans="1:10" ht="17.25">
      <c r="A37" s="27" t="s">
        <v>480</v>
      </c>
      <c r="B37" s="26" t="s">
        <v>481</v>
      </c>
      <c r="C37" s="27" t="s">
        <v>467</v>
      </c>
      <c r="D37" s="27" t="s">
        <v>482</v>
      </c>
      <c r="E37" s="27" t="s">
        <v>444</v>
      </c>
      <c r="F37" s="28" t="s">
        <v>13</v>
      </c>
      <c r="G37" s="24"/>
      <c r="H37" s="24" t="s">
        <v>576</v>
      </c>
      <c r="I37" s="24"/>
      <c r="J37" s="31"/>
    </row>
    <row r="38" spans="1:10" ht="17.25">
      <c r="A38" s="27" t="s">
        <v>480</v>
      </c>
      <c r="B38" s="26" t="s">
        <v>484</v>
      </c>
      <c r="C38" s="27" t="s">
        <v>467</v>
      </c>
      <c r="D38" s="27" t="s">
        <v>482</v>
      </c>
      <c r="E38" s="27" t="s">
        <v>444</v>
      </c>
      <c r="F38" s="28" t="s">
        <v>13</v>
      </c>
      <c r="G38" s="24" t="s">
        <v>1059</v>
      </c>
      <c r="H38" s="24" t="s">
        <v>576</v>
      </c>
      <c r="I38" s="24"/>
      <c r="J38" s="24"/>
    </row>
    <row r="39" spans="1:10" ht="17.25">
      <c r="A39" s="27" t="s">
        <v>480</v>
      </c>
      <c r="B39" s="26" t="s">
        <v>485</v>
      </c>
      <c r="C39" s="27" t="s">
        <v>467</v>
      </c>
      <c r="D39" s="27" t="s">
        <v>482</v>
      </c>
      <c r="E39" s="27" t="s">
        <v>444</v>
      </c>
      <c r="F39" s="111" t="s">
        <v>1056</v>
      </c>
      <c r="G39" s="24"/>
      <c r="H39" s="24" t="s">
        <v>576</v>
      </c>
      <c r="I39" s="32"/>
      <c r="J39" s="24"/>
    </row>
    <row r="40" spans="1:10" ht="17.25">
      <c r="A40" s="27" t="s">
        <v>480</v>
      </c>
      <c r="B40" s="26" t="s">
        <v>487</v>
      </c>
      <c r="C40" s="27" t="s">
        <v>467</v>
      </c>
      <c r="D40" s="27" t="s">
        <v>482</v>
      </c>
      <c r="E40" s="27" t="s">
        <v>444</v>
      </c>
      <c r="F40" s="111" t="s">
        <v>1060</v>
      </c>
      <c r="G40" s="24"/>
      <c r="H40" s="24" t="s">
        <v>576</v>
      </c>
      <c r="I40" s="24"/>
      <c r="J40" s="24"/>
    </row>
    <row r="41" spans="1:10" ht="17.25">
      <c r="A41" s="21" t="s">
        <v>480</v>
      </c>
      <c r="B41" s="22" t="s">
        <v>488</v>
      </c>
      <c r="C41" s="21" t="s">
        <v>489</v>
      </c>
      <c r="D41" s="21" t="s">
        <v>482</v>
      </c>
      <c r="E41" s="23" t="s">
        <v>444</v>
      </c>
      <c r="F41" s="28" t="s">
        <v>13</v>
      </c>
      <c r="G41" s="141" t="s">
        <v>13</v>
      </c>
      <c r="H41" s="24" t="s">
        <v>576</v>
      </c>
      <c r="I41" s="24"/>
      <c r="J41" s="24"/>
    </row>
  </sheetData>
  <autoFilter ref="A1:N1" xr:uid="{2B8CFE58-2896-4007-A523-838A2BC99023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21554-294C-4D2A-A61B-B23A55150E03}">
  <sheetPr>
    <tabColor rgb="FF92D050"/>
  </sheetPr>
  <dimension ref="A1:K59"/>
  <sheetViews>
    <sheetView topLeftCell="A14" workbookViewId="0">
      <selection activeCell="C23" sqref="C23:C24"/>
    </sheetView>
  </sheetViews>
  <sheetFormatPr defaultColWidth="8.7109375" defaultRowHeight="14.45"/>
  <cols>
    <col min="2" max="2" width="16" customWidth="1"/>
    <col min="3" max="3" width="36.7109375" customWidth="1"/>
    <col min="4" max="4" width="18.28515625" customWidth="1"/>
    <col min="5" max="5" width="37" customWidth="1"/>
    <col min="6" max="6" width="27.28515625" customWidth="1"/>
    <col min="7" max="7" width="54.7109375" customWidth="1"/>
    <col min="8" max="8" width="20.140625" customWidth="1"/>
    <col min="10" max="10" width="58.85546875" customWidth="1"/>
    <col min="11" max="11" width="20.28515625" customWidth="1"/>
  </cols>
  <sheetData>
    <row r="1" spans="1:11" ht="87" customHeight="1" thickBot="1">
      <c r="A1" s="13" t="s">
        <v>490</v>
      </c>
      <c r="B1" s="13" t="s">
        <v>491</v>
      </c>
      <c r="C1" s="18" t="s">
        <v>492</v>
      </c>
      <c r="D1" s="13" t="s">
        <v>394</v>
      </c>
      <c r="E1" s="13" t="s">
        <v>395</v>
      </c>
      <c r="F1" s="13" t="s">
        <v>396</v>
      </c>
      <c r="G1" s="18" t="s">
        <v>397</v>
      </c>
      <c r="H1" s="18" t="s">
        <v>398</v>
      </c>
      <c r="I1" s="13" t="s">
        <v>42</v>
      </c>
      <c r="J1" s="13" t="s">
        <v>399</v>
      </c>
      <c r="K1" s="13" t="s">
        <v>400</v>
      </c>
    </row>
    <row r="2" spans="1:11" ht="35.25">
      <c r="A2" s="171" t="s">
        <v>493</v>
      </c>
      <c r="B2" s="171" t="s">
        <v>494</v>
      </c>
      <c r="C2" s="148" t="s">
        <v>495</v>
      </c>
      <c r="D2" s="148" t="s">
        <v>496</v>
      </c>
      <c r="E2" s="35" t="s">
        <v>497</v>
      </c>
      <c r="F2" s="148" t="s">
        <v>444</v>
      </c>
      <c r="G2" s="200"/>
      <c r="H2" s="148"/>
      <c r="I2" s="148"/>
      <c r="J2" s="148"/>
      <c r="K2" s="148"/>
    </row>
    <row r="3" spans="1:11" ht="17.45">
      <c r="A3" s="179"/>
      <c r="B3" s="179"/>
      <c r="C3" s="149"/>
      <c r="D3" s="149"/>
      <c r="E3" s="36"/>
      <c r="F3" s="149"/>
      <c r="G3" s="201"/>
      <c r="H3" s="149"/>
      <c r="I3" s="149"/>
      <c r="J3" s="149"/>
      <c r="K3" s="149"/>
    </row>
    <row r="4" spans="1:11" ht="17.45">
      <c r="A4" s="179"/>
      <c r="B4" s="179"/>
      <c r="C4" s="149"/>
      <c r="D4" s="149"/>
      <c r="E4" s="36" t="s">
        <v>498</v>
      </c>
      <c r="F4" s="149"/>
      <c r="G4" s="201"/>
      <c r="H4" s="149"/>
      <c r="I4" s="149"/>
      <c r="J4" s="149"/>
      <c r="K4" s="149"/>
    </row>
    <row r="5" spans="1:11" ht="18" thickBot="1">
      <c r="A5" s="179"/>
      <c r="B5" s="182"/>
      <c r="C5" s="172"/>
      <c r="D5" s="172"/>
      <c r="E5" s="37"/>
      <c r="F5" s="177"/>
      <c r="G5" s="202"/>
      <c r="H5" s="177"/>
      <c r="I5" s="177"/>
      <c r="J5" s="177"/>
      <c r="K5" s="177"/>
    </row>
    <row r="6" spans="1:11" ht="35.450000000000003" thickBot="1">
      <c r="A6" s="179"/>
      <c r="B6" s="171" t="s">
        <v>494</v>
      </c>
      <c r="C6" s="148" t="s">
        <v>495</v>
      </c>
      <c r="D6" s="148" t="s">
        <v>496</v>
      </c>
      <c r="E6" s="35" t="s">
        <v>499</v>
      </c>
      <c r="F6" s="148" t="s">
        <v>500</v>
      </c>
      <c r="G6" s="200"/>
      <c r="H6" s="148"/>
      <c r="I6" s="148"/>
      <c r="J6" s="148"/>
      <c r="K6" s="148"/>
    </row>
    <row r="7" spans="1:11" ht="18" thickBot="1">
      <c r="A7" s="179"/>
      <c r="B7" s="179"/>
      <c r="C7" s="149"/>
      <c r="D7" s="149"/>
      <c r="E7" s="35"/>
      <c r="F7" s="149"/>
      <c r="G7" s="201"/>
      <c r="H7" s="149"/>
      <c r="I7" s="149"/>
      <c r="J7" s="149"/>
      <c r="K7" s="149"/>
    </row>
    <row r="8" spans="1:11" ht="18" thickBot="1">
      <c r="A8" s="179"/>
      <c r="B8" s="179"/>
      <c r="C8" s="149"/>
      <c r="D8" s="149"/>
      <c r="E8" s="35" t="s">
        <v>501</v>
      </c>
      <c r="F8" s="149"/>
      <c r="G8" s="201"/>
      <c r="H8" s="149"/>
      <c r="I8" s="149"/>
      <c r="J8" s="149"/>
      <c r="K8" s="149"/>
    </row>
    <row r="9" spans="1:11" ht="18" thickBot="1">
      <c r="A9" s="179"/>
      <c r="B9" s="182"/>
      <c r="C9" s="172"/>
      <c r="D9" s="172"/>
      <c r="E9" s="35"/>
      <c r="F9" s="177"/>
      <c r="G9" s="202"/>
      <c r="H9" s="177"/>
      <c r="I9" s="177"/>
      <c r="J9" s="177"/>
      <c r="K9" s="177"/>
    </row>
    <row r="10" spans="1:11" ht="35.25">
      <c r="A10" s="179"/>
      <c r="B10" s="171" t="s">
        <v>502</v>
      </c>
      <c r="C10" s="186" t="s">
        <v>503</v>
      </c>
      <c r="D10" s="186" t="s">
        <v>496</v>
      </c>
      <c r="E10" s="124" t="s">
        <v>504</v>
      </c>
      <c r="F10" s="186" t="s">
        <v>444</v>
      </c>
      <c r="G10" s="186" t="s">
        <v>1061</v>
      </c>
      <c r="H10" s="186"/>
      <c r="I10" s="186" t="s">
        <v>428</v>
      </c>
      <c r="J10" s="148"/>
      <c r="K10" s="148"/>
    </row>
    <row r="11" spans="1:11" ht="18" thickBot="1">
      <c r="A11" s="179"/>
      <c r="B11" s="179"/>
      <c r="C11" s="191"/>
      <c r="D11" s="191"/>
      <c r="E11" s="124"/>
      <c r="F11" s="191"/>
      <c r="G11" s="191"/>
      <c r="H11" s="191"/>
      <c r="I11" s="191"/>
      <c r="J11" s="149"/>
      <c r="K11" s="149"/>
    </row>
    <row r="12" spans="1:11" ht="18" thickBot="1">
      <c r="A12" s="179"/>
      <c r="B12" s="179"/>
      <c r="C12" s="191"/>
      <c r="D12" s="191"/>
      <c r="E12" s="124" t="s">
        <v>505</v>
      </c>
      <c r="F12" s="191"/>
      <c r="G12" s="191"/>
      <c r="H12" s="191"/>
      <c r="I12" s="191"/>
      <c r="J12" s="149"/>
      <c r="K12" s="149"/>
    </row>
    <row r="13" spans="1:11" ht="35.450000000000003" thickBot="1">
      <c r="A13" s="179"/>
      <c r="B13" s="179"/>
      <c r="C13" s="148" t="s">
        <v>503</v>
      </c>
      <c r="D13" s="148" t="s">
        <v>496</v>
      </c>
      <c r="E13" s="35" t="s">
        <v>506</v>
      </c>
      <c r="F13" s="148" t="s">
        <v>507</v>
      </c>
      <c r="G13" s="148"/>
      <c r="H13" s="148"/>
      <c r="I13" s="148"/>
      <c r="J13" s="148"/>
      <c r="K13" s="148"/>
    </row>
    <row r="14" spans="1:11" ht="18" thickBot="1">
      <c r="A14" s="179"/>
      <c r="B14" s="179"/>
      <c r="C14" s="149"/>
      <c r="D14" s="149"/>
      <c r="E14" s="35"/>
      <c r="F14" s="149"/>
      <c r="G14" s="149"/>
      <c r="H14" s="149"/>
      <c r="I14" s="149"/>
      <c r="J14" s="149"/>
      <c r="K14" s="149"/>
    </row>
    <row r="15" spans="1:11" ht="18" thickBot="1">
      <c r="A15" s="179"/>
      <c r="B15" s="179"/>
      <c r="C15" s="149"/>
      <c r="D15" s="149"/>
      <c r="E15" s="35" t="s">
        <v>508</v>
      </c>
      <c r="F15" s="149"/>
      <c r="G15" s="149"/>
      <c r="H15" s="149"/>
      <c r="I15" s="149"/>
      <c r="J15" s="149"/>
      <c r="K15" s="149"/>
    </row>
    <row r="16" spans="1:11" ht="18" thickBot="1">
      <c r="A16" s="182"/>
      <c r="B16" s="182"/>
      <c r="C16" s="172"/>
      <c r="D16" s="172"/>
      <c r="E16" s="35"/>
      <c r="F16" s="177"/>
      <c r="G16" s="177"/>
      <c r="H16" s="177"/>
      <c r="I16" s="177"/>
      <c r="J16" s="177"/>
      <c r="K16" s="177"/>
    </row>
    <row r="17" spans="1:11" ht="15" customHeight="1">
      <c r="A17" s="171" t="s">
        <v>509</v>
      </c>
      <c r="B17" s="171" t="s">
        <v>510</v>
      </c>
      <c r="C17" s="199"/>
      <c r="D17" s="171" t="s">
        <v>511</v>
      </c>
      <c r="E17" s="148" t="s">
        <v>512</v>
      </c>
      <c r="F17" s="148" t="s">
        <v>513</v>
      </c>
      <c r="G17" s="148"/>
      <c r="H17" s="148"/>
      <c r="I17" s="148"/>
      <c r="J17" s="148"/>
      <c r="K17" s="148"/>
    </row>
    <row r="18" spans="1:11" ht="15" customHeight="1" thickBot="1">
      <c r="A18" s="179"/>
      <c r="B18" s="179"/>
      <c r="C18" s="199"/>
      <c r="D18" s="179"/>
      <c r="E18" s="177"/>
      <c r="F18" s="149"/>
      <c r="G18" s="149"/>
      <c r="H18" s="149"/>
      <c r="I18" s="149"/>
      <c r="J18" s="149"/>
      <c r="K18" s="149"/>
    </row>
    <row r="19" spans="1:11" ht="15" customHeight="1">
      <c r="A19" s="179"/>
      <c r="B19" s="197"/>
      <c r="C19" s="198"/>
      <c r="D19" s="198"/>
      <c r="E19" s="148" t="s">
        <v>514</v>
      </c>
      <c r="F19" s="148" t="s">
        <v>513</v>
      </c>
      <c r="G19" s="148"/>
      <c r="H19" s="148"/>
      <c r="I19" s="148"/>
      <c r="J19" s="148"/>
      <c r="K19" s="148"/>
    </row>
    <row r="20" spans="1:11" ht="15" customHeight="1" thickBot="1">
      <c r="A20" s="179"/>
      <c r="B20" s="197"/>
      <c r="C20" s="198"/>
      <c r="D20" s="198"/>
      <c r="E20" s="177"/>
      <c r="F20" s="149"/>
      <c r="G20" s="149"/>
      <c r="H20" s="149"/>
      <c r="I20" s="149"/>
      <c r="J20" s="149"/>
      <c r="K20" s="149"/>
    </row>
    <row r="21" spans="1:11" ht="15" customHeight="1">
      <c r="A21" s="179"/>
      <c r="B21" s="171" t="s">
        <v>515</v>
      </c>
      <c r="C21" s="171" t="s">
        <v>516</v>
      </c>
      <c r="D21" s="171" t="s">
        <v>517</v>
      </c>
      <c r="E21" s="148" t="s">
        <v>518</v>
      </c>
      <c r="F21" s="148" t="s">
        <v>519</v>
      </c>
      <c r="G21" s="148"/>
      <c r="H21" s="148"/>
      <c r="I21" s="148" t="s">
        <v>848</v>
      </c>
      <c r="J21" s="148"/>
      <c r="K21" s="148"/>
    </row>
    <row r="22" spans="1:11" ht="15" customHeight="1" thickBot="1">
      <c r="A22" s="179"/>
      <c r="B22" s="179"/>
      <c r="C22" s="179"/>
      <c r="D22" s="179"/>
      <c r="E22" s="177"/>
      <c r="F22" s="149"/>
      <c r="G22" s="149"/>
      <c r="H22" s="149"/>
      <c r="I22" s="149"/>
      <c r="J22" s="149"/>
      <c r="K22" s="149"/>
    </row>
    <row r="23" spans="1:11" ht="15" customHeight="1">
      <c r="A23" s="179"/>
      <c r="B23" s="192" t="s">
        <v>520</v>
      </c>
      <c r="C23" s="192" t="s">
        <v>521</v>
      </c>
      <c r="D23" s="192" t="s">
        <v>496</v>
      </c>
      <c r="E23" s="194" t="s">
        <v>522</v>
      </c>
      <c r="F23" s="194" t="s">
        <v>519</v>
      </c>
      <c r="G23" s="194" t="s">
        <v>1062</v>
      </c>
      <c r="H23" s="186"/>
      <c r="I23" s="186" t="s">
        <v>428</v>
      </c>
      <c r="J23" s="148"/>
      <c r="K23" s="148"/>
    </row>
    <row r="24" spans="1:11" ht="15" customHeight="1" thickBot="1">
      <c r="A24" s="179"/>
      <c r="B24" s="193"/>
      <c r="C24" s="193"/>
      <c r="D24" s="193"/>
      <c r="E24" s="195"/>
      <c r="F24" s="196"/>
      <c r="G24" s="196"/>
      <c r="H24" s="191"/>
      <c r="I24" s="191"/>
      <c r="J24" s="149"/>
      <c r="K24" s="149"/>
    </row>
    <row r="25" spans="1:11" ht="15" customHeight="1">
      <c r="A25" s="179"/>
      <c r="B25" s="192" t="s">
        <v>523</v>
      </c>
      <c r="C25" s="192" t="s">
        <v>524</v>
      </c>
      <c r="D25" s="171" t="s">
        <v>496</v>
      </c>
      <c r="E25" s="148" t="s">
        <v>522</v>
      </c>
      <c r="F25" s="148" t="s">
        <v>519</v>
      </c>
      <c r="G25" s="148"/>
      <c r="H25" s="148"/>
      <c r="I25" s="148"/>
      <c r="J25" s="148"/>
      <c r="K25" s="148"/>
    </row>
    <row r="26" spans="1:11" ht="15" customHeight="1" thickBot="1">
      <c r="A26" s="182"/>
      <c r="B26" s="193"/>
      <c r="C26" s="193"/>
      <c r="D26" s="179"/>
      <c r="E26" s="177"/>
      <c r="F26" s="149"/>
      <c r="G26" s="149"/>
      <c r="H26" s="149"/>
      <c r="I26" s="149"/>
      <c r="J26" s="149"/>
      <c r="K26" s="149"/>
    </row>
    <row r="27" spans="1:11" ht="15" customHeight="1">
      <c r="A27" s="171" t="s">
        <v>526</v>
      </c>
      <c r="B27" s="184" t="s">
        <v>527</v>
      </c>
      <c r="C27" s="184" t="s">
        <v>528</v>
      </c>
      <c r="D27" s="184" t="s">
        <v>496</v>
      </c>
      <c r="E27" s="186" t="s">
        <v>529</v>
      </c>
      <c r="F27" s="186" t="s">
        <v>530</v>
      </c>
      <c r="G27" s="186" t="s">
        <v>1063</v>
      </c>
      <c r="H27" s="186"/>
      <c r="I27" s="186" t="s">
        <v>428</v>
      </c>
      <c r="J27" s="148"/>
      <c r="K27" s="148"/>
    </row>
    <row r="28" spans="1:11" ht="32.25" customHeight="1" thickBot="1">
      <c r="A28" s="179"/>
      <c r="B28" s="185"/>
      <c r="C28" s="185"/>
      <c r="D28" s="185"/>
      <c r="E28" s="187"/>
      <c r="F28" s="191"/>
      <c r="G28" s="191"/>
      <c r="H28" s="191"/>
      <c r="I28" s="191"/>
      <c r="J28" s="149"/>
      <c r="K28" s="149"/>
    </row>
    <row r="29" spans="1:11" s="46" customFormat="1" ht="13.5" customHeight="1">
      <c r="A29" s="179"/>
      <c r="B29" s="157" t="s">
        <v>531</v>
      </c>
      <c r="C29" s="157" t="s">
        <v>532</v>
      </c>
      <c r="D29" s="157" t="s">
        <v>533</v>
      </c>
      <c r="E29" s="160" t="s">
        <v>534</v>
      </c>
      <c r="F29" s="160" t="s">
        <v>444</v>
      </c>
      <c r="G29" s="160" t="s">
        <v>84</v>
      </c>
      <c r="H29" s="160"/>
      <c r="I29" s="160" t="s">
        <v>796</v>
      </c>
      <c r="J29" s="148"/>
      <c r="K29" s="148"/>
    </row>
    <row r="30" spans="1:11" s="46" customFormat="1" ht="15" customHeight="1">
      <c r="A30" s="179"/>
      <c r="B30" s="190"/>
      <c r="C30" s="190"/>
      <c r="D30" s="190"/>
      <c r="E30" s="162"/>
      <c r="F30" s="162"/>
      <c r="G30" s="162"/>
      <c r="H30" s="162"/>
      <c r="I30" s="162"/>
      <c r="J30" s="149"/>
      <c r="K30" s="149"/>
    </row>
    <row r="31" spans="1:11" s="46" customFormat="1" ht="15" customHeight="1" thickBot="1">
      <c r="A31" s="179"/>
      <c r="B31" s="190"/>
      <c r="C31" s="190"/>
      <c r="D31" s="190"/>
      <c r="E31" s="161"/>
      <c r="F31" s="162"/>
      <c r="G31" s="162"/>
      <c r="H31" s="162"/>
      <c r="I31" s="162"/>
      <c r="J31" s="149"/>
      <c r="K31" s="149"/>
    </row>
    <row r="32" spans="1:11" ht="15" customHeight="1">
      <c r="A32" s="179"/>
      <c r="B32" s="157" t="s">
        <v>535</v>
      </c>
      <c r="C32" s="157" t="s">
        <v>536</v>
      </c>
      <c r="D32" s="157" t="s">
        <v>496</v>
      </c>
      <c r="E32" s="160" t="s">
        <v>537</v>
      </c>
      <c r="F32" s="160" t="s">
        <v>444</v>
      </c>
      <c r="G32" s="160" t="s">
        <v>84</v>
      </c>
      <c r="H32" s="160"/>
      <c r="I32" s="160" t="s">
        <v>796</v>
      </c>
      <c r="J32" s="148"/>
      <c r="K32" s="148"/>
    </row>
    <row r="33" spans="1:11" ht="15" customHeight="1" thickBot="1">
      <c r="A33" s="179"/>
      <c r="B33" s="190"/>
      <c r="C33" s="190"/>
      <c r="D33" s="190"/>
      <c r="E33" s="161"/>
      <c r="F33" s="162"/>
      <c r="G33" s="162"/>
      <c r="H33" s="162"/>
      <c r="I33" s="162"/>
      <c r="J33" s="149"/>
      <c r="K33" s="149"/>
    </row>
    <row r="34" spans="1:11" ht="15" customHeight="1">
      <c r="A34" s="179"/>
      <c r="B34" s="171" t="s">
        <v>539</v>
      </c>
      <c r="C34" s="171" t="s">
        <v>540</v>
      </c>
      <c r="D34" s="171" t="s">
        <v>541</v>
      </c>
      <c r="E34" s="148" t="s">
        <v>542</v>
      </c>
      <c r="F34" s="148" t="s">
        <v>543</v>
      </c>
      <c r="G34" s="148"/>
      <c r="H34" s="148"/>
      <c r="I34" s="148"/>
      <c r="J34" s="148"/>
      <c r="K34" s="148"/>
    </row>
    <row r="35" spans="1:11" ht="41.25" customHeight="1" thickBot="1">
      <c r="A35" s="179"/>
      <c r="B35" s="179"/>
      <c r="C35" s="179"/>
      <c r="D35" s="179"/>
      <c r="E35" s="177"/>
      <c r="F35" s="149"/>
      <c r="G35" s="149"/>
      <c r="H35" s="149"/>
      <c r="I35" s="149"/>
      <c r="J35" s="149"/>
      <c r="K35" s="149"/>
    </row>
    <row r="36" spans="1:11" ht="15" customHeight="1">
      <c r="A36" s="179"/>
      <c r="B36" s="171" t="s">
        <v>544</v>
      </c>
      <c r="C36" s="171" t="s">
        <v>545</v>
      </c>
      <c r="D36" s="171" t="s">
        <v>496</v>
      </c>
      <c r="E36" s="148" t="s">
        <v>546</v>
      </c>
      <c r="F36" s="148" t="s">
        <v>444</v>
      </c>
      <c r="G36" s="148"/>
      <c r="H36" s="148"/>
      <c r="I36" s="148"/>
      <c r="J36" s="148"/>
      <c r="K36" s="148"/>
    </row>
    <row r="37" spans="1:11" ht="45.75" customHeight="1" thickBot="1">
      <c r="A37" s="179"/>
      <c r="B37" s="179"/>
      <c r="C37" s="179"/>
      <c r="D37" s="179"/>
      <c r="E37" s="177"/>
      <c r="F37" s="149"/>
      <c r="G37" s="149"/>
      <c r="H37" s="149"/>
      <c r="I37" s="149"/>
      <c r="J37" s="149"/>
      <c r="K37" s="149"/>
    </row>
    <row r="38" spans="1:11" ht="15" customHeight="1">
      <c r="A38" s="179"/>
      <c r="B38" s="171" t="s">
        <v>547</v>
      </c>
      <c r="C38" s="171" t="s">
        <v>548</v>
      </c>
      <c r="D38" s="171" t="s">
        <v>496</v>
      </c>
      <c r="E38" s="148" t="s">
        <v>549</v>
      </c>
      <c r="F38" s="148" t="s">
        <v>444</v>
      </c>
      <c r="G38" s="148"/>
      <c r="H38" s="148"/>
      <c r="I38" s="148"/>
      <c r="J38" s="148"/>
      <c r="K38" s="148"/>
    </row>
    <row r="39" spans="1:11" ht="36" customHeight="1" thickBot="1">
      <c r="A39" s="179"/>
      <c r="B39" s="179"/>
      <c r="C39" s="179"/>
      <c r="D39" s="179"/>
      <c r="E39" s="177"/>
      <c r="F39" s="149"/>
      <c r="G39" s="149"/>
      <c r="H39" s="149"/>
      <c r="I39" s="149"/>
      <c r="J39" s="149"/>
      <c r="K39" s="149"/>
    </row>
    <row r="40" spans="1:11" ht="15" customHeight="1">
      <c r="A40" s="179"/>
      <c r="B40" s="184" t="s">
        <v>550</v>
      </c>
      <c r="C40" s="184" t="s">
        <v>551</v>
      </c>
      <c r="D40" s="184" t="s">
        <v>552</v>
      </c>
      <c r="E40" s="186" t="s">
        <v>546</v>
      </c>
      <c r="F40" s="186" t="s">
        <v>553</v>
      </c>
      <c r="G40" s="186"/>
      <c r="H40" s="186"/>
      <c r="I40" s="186" t="s">
        <v>1064</v>
      </c>
      <c r="J40" s="148"/>
      <c r="K40" s="148"/>
    </row>
    <row r="41" spans="1:11" ht="15" customHeight="1" thickBot="1">
      <c r="A41" s="179"/>
      <c r="B41" s="185"/>
      <c r="C41" s="185"/>
      <c r="D41" s="185"/>
      <c r="E41" s="187"/>
      <c r="F41" s="191"/>
      <c r="G41" s="191"/>
      <c r="H41" s="191"/>
      <c r="I41" s="191"/>
      <c r="J41" s="149"/>
      <c r="K41" s="149"/>
    </row>
    <row r="42" spans="1:11" ht="17.25">
      <c r="A42" s="179"/>
      <c r="B42" s="126" t="s">
        <v>554</v>
      </c>
      <c r="C42" s="126" t="s">
        <v>555</v>
      </c>
      <c r="D42" s="126" t="s">
        <v>541</v>
      </c>
      <c r="E42" s="127" t="s">
        <v>556</v>
      </c>
      <c r="F42" s="127" t="s">
        <v>543</v>
      </c>
      <c r="G42" s="128" t="s">
        <v>84</v>
      </c>
      <c r="H42" s="128"/>
      <c r="I42" s="127" t="s">
        <v>848</v>
      </c>
      <c r="J42" s="39"/>
      <c r="K42" s="39"/>
    </row>
    <row r="43" spans="1:11" ht="17.25" customHeight="1">
      <c r="A43" s="179"/>
      <c r="B43" s="157" t="s">
        <v>557</v>
      </c>
      <c r="C43" s="157" t="s">
        <v>558</v>
      </c>
      <c r="D43" s="157" t="s">
        <v>496</v>
      </c>
      <c r="E43" s="162" t="s">
        <v>559</v>
      </c>
      <c r="F43" s="162" t="s">
        <v>444</v>
      </c>
      <c r="G43" s="162" t="s">
        <v>84</v>
      </c>
      <c r="H43" s="162"/>
      <c r="I43" s="162" t="s">
        <v>848</v>
      </c>
      <c r="J43" s="149"/>
      <c r="K43" s="149"/>
    </row>
    <row r="44" spans="1:11" ht="17.25" customHeight="1" thickBot="1">
      <c r="A44" s="182"/>
      <c r="B44" s="158"/>
      <c r="C44" s="158"/>
      <c r="D44" s="159"/>
      <c r="E44" s="162"/>
      <c r="F44" s="162"/>
      <c r="G44" s="162"/>
      <c r="H44" s="162"/>
      <c r="I44" s="162"/>
      <c r="J44" s="149"/>
      <c r="K44" s="149"/>
    </row>
    <row r="45" spans="1:11" ht="17.25">
      <c r="A45" s="171" t="s">
        <v>562</v>
      </c>
      <c r="B45" s="171" t="s">
        <v>563</v>
      </c>
      <c r="C45" s="171"/>
      <c r="D45" s="171" t="s">
        <v>564</v>
      </c>
      <c r="E45" s="149" t="s">
        <v>565</v>
      </c>
      <c r="F45" s="149" t="s">
        <v>566</v>
      </c>
      <c r="G45" s="40"/>
      <c r="H45" s="40"/>
      <c r="I45" s="149" t="s">
        <v>1064</v>
      </c>
      <c r="J45" s="149"/>
      <c r="K45" s="149"/>
    </row>
    <row r="46" spans="1:11" ht="18" thickBot="1">
      <c r="A46" s="179"/>
      <c r="B46" s="182"/>
      <c r="C46" s="182"/>
      <c r="D46" s="183"/>
      <c r="E46" s="149"/>
      <c r="F46" s="177"/>
      <c r="G46" s="40"/>
      <c r="H46" s="40"/>
      <c r="I46" s="177"/>
      <c r="J46" s="177"/>
      <c r="K46" s="177"/>
    </row>
    <row r="47" spans="1:11" ht="17.25" customHeight="1">
      <c r="A47" s="179"/>
      <c r="B47" s="178"/>
      <c r="C47" s="150" t="s">
        <v>567</v>
      </c>
      <c r="D47" s="150" t="s">
        <v>568</v>
      </c>
      <c r="E47" s="155" t="s">
        <v>569</v>
      </c>
      <c r="F47" s="153" t="s">
        <v>566</v>
      </c>
      <c r="G47" s="156" t="s">
        <v>365</v>
      </c>
      <c r="H47" s="40"/>
      <c r="I47" s="171" t="s">
        <v>222</v>
      </c>
      <c r="J47" s="180" t="s">
        <v>570</v>
      </c>
      <c r="K47" s="148"/>
    </row>
    <row r="48" spans="1:11" ht="17.25" customHeight="1">
      <c r="A48" s="179"/>
      <c r="B48" s="178"/>
      <c r="C48" s="152"/>
      <c r="D48" s="152"/>
      <c r="E48" s="154"/>
      <c r="F48" s="155"/>
      <c r="G48" s="156"/>
      <c r="H48" s="40"/>
      <c r="I48" s="179"/>
      <c r="J48" s="181"/>
      <c r="K48" s="149"/>
    </row>
    <row r="49" spans="1:11" ht="15">
      <c r="A49" s="179"/>
      <c r="B49" s="188" t="s">
        <v>572</v>
      </c>
      <c r="C49" s="188" t="s">
        <v>573</v>
      </c>
      <c r="D49" s="188" t="s">
        <v>496</v>
      </c>
      <c r="E49" s="169" t="s">
        <v>574</v>
      </c>
      <c r="F49" s="169" t="s">
        <v>575</v>
      </c>
      <c r="G49" s="165"/>
      <c r="H49" s="167"/>
      <c r="I49" s="169" t="s">
        <v>1064</v>
      </c>
      <c r="J49" s="171"/>
      <c r="K49" s="148"/>
    </row>
    <row r="50" spans="1:11" ht="52.5" customHeight="1">
      <c r="A50" s="179"/>
      <c r="B50" s="189"/>
      <c r="C50" s="189"/>
      <c r="D50" s="189"/>
      <c r="E50" s="170"/>
      <c r="F50" s="170"/>
      <c r="G50" s="166"/>
      <c r="H50" s="168"/>
      <c r="I50" s="170"/>
      <c r="J50" s="172"/>
      <c r="K50" s="172"/>
    </row>
    <row r="51" spans="1:11" ht="17.25">
      <c r="A51" s="179"/>
      <c r="B51" s="150" t="s">
        <v>578</v>
      </c>
      <c r="C51" s="150" t="s">
        <v>579</v>
      </c>
      <c r="D51" s="150" t="s">
        <v>580</v>
      </c>
      <c r="E51" s="153" t="s">
        <v>581</v>
      </c>
      <c r="F51" s="153" t="s">
        <v>553</v>
      </c>
      <c r="G51" s="175" t="s">
        <v>365</v>
      </c>
      <c r="H51" s="129"/>
      <c r="I51" s="153" t="s">
        <v>848</v>
      </c>
      <c r="J51" s="173" t="s">
        <v>1065</v>
      </c>
      <c r="K51" s="148"/>
    </row>
    <row r="52" spans="1:11" ht="17.25">
      <c r="A52" s="179"/>
      <c r="B52" s="151"/>
      <c r="C52" s="151"/>
      <c r="D52" s="152"/>
      <c r="E52" s="154"/>
      <c r="F52" s="155"/>
      <c r="G52" s="176"/>
      <c r="H52" s="129"/>
      <c r="I52" s="155"/>
      <c r="J52" s="174"/>
      <c r="K52" s="149"/>
    </row>
    <row r="53" spans="1:11" ht="17.25">
      <c r="A53" s="179"/>
      <c r="B53" s="157" t="s">
        <v>583</v>
      </c>
      <c r="C53" s="157" t="s">
        <v>584</v>
      </c>
      <c r="D53" s="157" t="s">
        <v>585</v>
      </c>
      <c r="E53" s="160" t="s">
        <v>574</v>
      </c>
      <c r="F53" s="160" t="s">
        <v>575</v>
      </c>
      <c r="G53" s="163" t="s">
        <v>84</v>
      </c>
      <c r="H53" s="130"/>
      <c r="I53" s="160" t="s">
        <v>848</v>
      </c>
      <c r="J53" s="148"/>
      <c r="K53" s="148"/>
    </row>
    <row r="54" spans="1:11" ht="17.25">
      <c r="A54" s="179"/>
      <c r="B54" s="158"/>
      <c r="C54" s="158"/>
      <c r="D54" s="159"/>
      <c r="E54" s="161"/>
      <c r="F54" s="162"/>
      <c r="G54" s="164"/>
      <c r="H54" s="130"/>
      <c r="I54" s="162"/>
      <c r="J54" s="149"/>
      <c r="K54" s="149"/>
    </row>
    <row r="55" spans="1:11" ht="15" customHeight="1">
      <c r="A55" s="179"/>
      <c r="B55" s="150" t="s">
        <v>586</v>
      </c>
      <c r="C55" s="150" t="s">
        <v>587</v>
      </c>
      <c r="D55" s="150" t="s">
        <v>585</v>
      </c>
      <c r="E55" s="153" t="s">
        <v>581</v>
      </c>
      <c r="F55" s="153" t="s">
        <v>588</v>
      </c>
      <c r="G55" s="150" t="s">
        <v>13</v>
      </c>
      <c r="H55" s="150" t="s">
        <v>13</v>
      </c>
      <c r="I55" s="150" t="s">
        <v>222</v>
      </c>
      <c r="J55" s="150" t="s">
        <v>589</v>
      </c>
      <c r="K55" s="148"/>
    </row>
    <row r="56" spans="1:11" ht="15" customHeight="1">
      <c r="A56" s="179"/>
      <c r="B56" s="151"/>
      <c r="C56" s="151"/>
      <c r="D56" s="152"/>
      <c r="E56" s="154"/>
      <c r="F56" s="155"/>
      <c r="G56" s="156"/>
      <c r="H56" s="156"/>
      <c r="I56" s="156"/>
      <c r="J56" s="156"/>
      <c r="K56" s="149"/>
    </row>
    <row r="57" spans="1:11" ht="139.5" customHeight="1" thickBot="1">
      <c r="A57" s="179"/>
      <c r="B57" s="132" t="s">
        <v>590</v>
      </c>
      <c r="C57" s="132" t="s">
        <v>591</v>
      </c>
      <c r="D57" s="132" t="s">
        <v>592</v>
      </c>
      <c r="E57" s="133" t="s">
        <v>581</v>
      </c>
      <c r="F57" s="133" t="s">
        <v>593</v>
      </c>
      <c r="G57" s="134" t="s">
        <v>1066</v>
      </c>
      <c r="H57" s="134"/>
      <c r="I57" s="133" t="s">
        <v>1064</v>
      </c>
      <c r="J57" s="34" t="s">
        <v>1067</v>
      </c>
      <c r="K57" s="34"/>
    </row>
    <row r="58" spans="1:11" s="92" customFormat="1" ht="52.5">
      <c r="A58" s="179"/>
      <c r="B58" s="150" t="s">
        <v>594</v>
      </c>
      <c r="C58" s="150" t="s">
        <v>595</v>
      </c>
      <c r="D58" s="150" t="s">
        <v>596</v>
      </c>
      <c r="E58" s="153" t="s">
        <v>581</v>
      </c>
      <c r="F58" s="131" t="s">
        <v>588</v>
      </c>
      <c r="G58" s="129"/>
      <c r="H58" s="129"/>
      <c r="I58" s="131" t="s">
        <v>796</v>
      </c>
      <c r="J58" s="131" t="s">
        <v>1068</v>
      </c>
      <c r="K58" s="131"/>
    </row>
    <row r="59" spans="1:11" s="92" customFormat="1" ht="35.25">
      <c r="A59" s="179"/>
      <c r="B59" s="156"/>
      <c r="C59" s="156"/>
      <c r="D59" s="156"/>
      <c r="E59" s="155"/>
      <c r="F59" s="129" t="s">
        <v>597</v>
      </c>
      <c r="G59" s="129"/>
      <c r="H59" s="129"/>
      <c r="I59" s="129"/>
      <c r="J59" s="129"/>
      <c r="K59" s="129"/>
    </row>
  </sheetData>
  <mergeCells count="228">
    <mergeCell ref="H2:H5"/>
    <mergeCell ref="I2:I5"/>
    <mergeCell ref="J2:J5"/>
    <mergeCell ref="K2:K5"/>
    <mergeCell ref="B6:B9"/>
    <mergeCell ref="C6:C9"/>
    <mergeCell ref="D6:D9"/>
    <mergeCell ref="F6:F9"/>
    <mergeCell ref="G6:G9"/>
    <mergeCell ref="H6:H9"/>
    <mergeCell ref="B2:B5"/>
    <mergeCell ref="C2:C5"/>
    <mergeCell ref="D2:D5"/>
    <mergeCell ref="F2:F5"/>
    <mergeCell ref="G2:G5"/>
    <mergeCell ref="I6:I9"/>
    <mergeCell ref="J6:J9"/>
    <mergeCell ref="K6:K9"/>
    <mergeCell ref="B10:B16"/>
    <mergeCell ref="C10:C12"/>
    <mergeCell ref="D10:D12"/>
    <mergeCell ref="F10:F12"/>
    <mergeCell ref="G10:G12"/>
    <mergeCell ref="H10:H12"/>
    <mergeCell ref="I10:I12"/>
    <mergeCell ref="A17:A26"/>
    <mergeCell ref="B17:B18"/>
    <mergeCell ref="C17:C18"/>
    <mergeCell ref="D17:D18"/>
    <mergeCell ref="E17:E18"/>
    <mergeCell ref="F17:F18"/>
    <mergeCell ref="A2:A16"/>
    <mergeCell ref="G17:G18"/>
    <mergeCell ref="H17:H18"/>
    <mergeCell ref="I17:I18"/>
    <mergeCell ref="B21:B22"/>
    <mergeCell ref="C21:C22"/>
    <mergeCell ref="D21:D22"/>
    <mergeCell ref="E21:E22"/>
    <mergeCell ref="F21:F22"/>
    <mergeCell ref="G21:G22"/>
    <mergeCell ref="H21:H22"/>
    <mergeCell ref="J10:J12"/>
    <mergeCell ref="K10:K12"/>
    <mergeCell ref="C13:C16"/>
    <mergeCell ref="D13:D16"/>
    <mergeCell ref="F13:F16"/>
    <mergeCell ref="G13:G16"/>
    <mergeCell ref="H13:H16"/>
    <mergeCell ref="I13:I16"/>
    <mergeCell ref="J13:J16"/>
    <mergeCell ref="K13:K16"/>
    <mergeCell ref="J17:J18"/>
    <mergeCell ref="K17:K18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I21:I22"/>
    <mergeCell ref="J21:J22"/>
    <mergeCell ref="K21:K22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B25:B26"/>
    <mergeCell ref="C25:C26"/>
    <mergeCell ref="D25:D26"/>
    <mergeCell ref="E25:E26"/>
    <mergeCell ref="F25:F26"/>
    <mergeCell ref="F27:F28"/>
    <mergeCell ref="G27:G28"/>
    <mergeCell ref="H27:H28"/>
    <mergeCell ref="I27:I28"/>
    <mergeCell ref="F29:F31"/>
    <mergeCell ref="G29:G31"/>
    <mergeCell ref="J27:J28"/>
    <mergeCell ref="K27:K28"/>
    <mergeCell ref="G25:G26"/>
    <mergeCell ref="H25:H26"/>
    <mergeCell ref="I25:I26"/>
    <mergeCell ref="J25:J26"/>
    <mergeCell ref="K25:K26"/>
    <mergeCell ref="H29:H31"/>
    <mergeCell ref="I29:I31"/>
    <mergeCell ref="J29:J31"/>
    <mergeCell ref="K29:K31"/>
    <mergeCell ref="H32:H33"/>
    <mergeCell ref="I32:I33"/>
    <mergeCell ref="J32:J33"/>
    <mergeCell ref="K32:K33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K34:K35"/>
    <mergeCell ref="B32:B33"/>
    <mergeCell ref="C32:C33"/>
    <mergeCell ref="D32:D33"/>
    <mergeCell ref="E32:E33"/>
    <mergeCell ref="F32:F33"/>
    <mergeCell ref="G32:G33"/>
    <mergeCell ref="K36:K37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K40:K41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A45:A59"/>
    <mergeCell ref="B45:B46"/>
    <mergeCell ref="C45:C46"/>
    <mergeCell ref="D45:D46"/>
    <mergeCell ref="E45:E46"/>
    <mergeCell ref="F45:F46"/>
    <mergeCell ref="A27:A44"/>
    <mergeCell ref="B27:B28"/>
    <mergeCell ref="C27:C28"/>
    <mergeCell ref="D27:D28"/>
    <mergeCell ref="E27:E28"/>
    <mergeCell ref="B49:B50"/>
    <mergeCell ref="C49:C50"/>
    <mergeCell ref="D49:D50"/>
    <mergeCell ref="E49:E50"/>
    <mergeCell ref="F49:F50"/>
    <mergeCell ref="B58:B59"/>
    <mergeCell ref="C58:C59"/>
    <mergeCell ref="D58:D59"/>
    <mergeCell ref="E58:E59"/>
    <mergeCell ref="B29:B31"/>
    <mergeCell ref="C29:C31"/>
    <mergeCell ref="D29:D31"/>
    <mergeCell ref="E29:E31"/>
    <mergeCell ref="I45:I46"/>
    <mergeCell ref="J45:J46"/>
    <mergeCell ref="K45:K46"/>
    <mergeCell ref="B47:B48"/>
    <mergeCell ref="C47:C48"/>
    <mergeCell ref="D47:D48"/>
    <mergeCell ref="E47:E48"/>
    <mergeCell ref="F47:F48"/>
    <mergeCell ref="G47:G48"/>
    <mergeCell ref="I47:I48"/>
    <mergeCell ref="J47:J48"/>
    <mergeCell ref="K47:K48"/>
    <mergeCell ref="G49:G50"/>
    <mergeCell ref="H49:H50"/>
    <mergeCell ref="I49:I50"/>
    <mergeCell ref="J49:J50"/>
    <mergeCell ref="K49:K50"/>
    <mergeCell ref="B51:B52"/>
    <mergeCell ref="C51:C52"/>
    <mergeCell ref="D51:D52"/>
    <mergeCell ref="E51:E52"/>
    <mergeCell ref="F51:F52"/>
    <mergeCell ref="I51:I52"/>
    <mergeCell ref="J51:J52"/>
    <mergeCell ref="K51:K52"/>
    <mergeCell ref="G51:G52"/>
    <mergeCell ref="J53:J54"/>
    <mergeCell ref="K53:K54"/>
    <mergeCell ref="B55:B56"/>
    <mergeCell ref="C55:C56"/>
    <mergeCell ref="D55:D56"/>
    <mergeCell ref="E55:E56"/>
    <mergeCell ref="F55:F56"/>
    <mergeCell ref="I55:I56"/>
    <mergeCell ref="J55:J56"/>
    <mergeCell ref="K55:K56"/>
    <mergeCell ref="B53:B54"/>
    <mergeCell ref="C53:C54"/>
    <mergeCell ref="D53:D54"/>
    <mergeCell ref="E53:E54"/>
    <mergeCell ref="F53:F54"/>
    <mergeCell ref="I53:I54"/>
    <mergeCell ref="G55:G56"/>
    <mergeCell ref="H55:H56"/>
    <mergeCell ref="G53:G54"/>
  </mergeCells>
  <hyperlinks>
    <hyperlink ref="K43:K44" r:id="rId1" display="http://nx-impress-newdump-320qa.bams.corp/" xr:uid="{4BA602F8-8B6E-4340-BD40-452FDC1234AD}"/>
    <hyperlink ref="K50" r:id="rId2" display="http://nx-impress-newdump-320qa.bams.corp/" xr:uid="{6520432C-0A84-464C-8727-48DE2F3A205D}"/>
    <hyperlink ref="K51:K56" r:id="rId3" display="http://nx-impress-newdump-320qa.bams.corp/" xr:uid="{8F8F01BE-BAB0-4A9A-BB73-7BC925CA7E4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b7df2aa-6782-492f-9993-c4292c36f3cc" xsi:nil="true"/>
    <Statut xmlns="048d6d3b-a510-4830-9b6e-2076ccb9a1b3" xsi:nil="true"/>
    <Dateetheure xmlns="048d6d3b-a510-4830-9b6e-2076ccb9a1b3" xsi:nil="true"/>
    <_ip_UnifiedCompliancePolicyProperties xmlns="http://schemas.microsoft.com/sharepoint/v3" xsi:nil="true"/>
    <lcf76f155ced4ddcb4097134ff3c332f xmlns="048d6d3b-a510-4830-9b6e-2076ccb9a1b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8229345C709344BB8D9E50298BEDA1" ma:contentTypeVersion="23" ma:contentTypeDescription="Crée un document." ma:contentTypeScope="" ma:versionID="acfe7b689a476be212caffd63fe3bc3a">
  <xsd:schema xmlns:xsd="http://www.w3.org/2001/XMLSchema" xmlns:xs="http://www.w3.org/2001/XMLSchema" xmlns:p="http://schemas.microsoft.com/office/2006/metadata/properties" xmlns:ns1="http://schemas.microsoft.com/sharepoint/v3" xmlns:ns2="1b7df2aa-6782-492f-9993-c4292c36f3cc" xmlns:ns3="048d6d3b-a510-4830-9b6e-2076ccb9a1b3" targetNamespace="http://schemas.microsoft.com/office/2006/metadata/properties" ma:root="true" ma:fieldsID="501191445a5e05d6125bdb844c39d0cf" ns1:_="" ns2:_="" ns3:_="">
    <xsd:import namespace="http://schemas.microsoft.com/sharepoint/v3"/>
    <xsd:import namespace="1b7df2aa-6782-492f-9993-c4292c36f3cc"/>
    <xsd:import namespace="048d6d3b-a510-4830-9b6e-2076ccb9a1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Statut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Dateetheure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df2aa-6782-492f-9993-c4292c36f3c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1838195-705f-4b1e-aeeb-e5db45612efe}" ma:internalName="TaxCatchAll" ma:showField="CatchAllData" ma:web="1b7df2aa-6782-492f-9993-c4292c36f3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8d6d3b-a510-4830-9b6e-2076ccb9a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Statut" ma:index="17" nillable="true" ma:displayName="Statut" ma:description="This document is a DRAFT; must be reviewed and approved." ma:format="Dropdown" ma:internalName="Statut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665531e2-916f-41d6-b7f3-804cd1717f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etheure" ma:index="24" nillable="true" ma:displayName="Date et heure" ma:format="DateTime" ma:internalName="Dateetheure">
      <xsd:simpleType>
        <xsd:restriction base="dms:DateTim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3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0E0495-40E9-481E-A77E-1798FA73C4C5}"/>
</file>

<file path=customXml/itemProps2.xml><?xml version="1.0" encoding="utf-8"?>
<ds:datastoreItem xmlns:ds="http://schemas.openxmlformats.org/officeDocument/2006/customXml" ds:itemID="{6C86CF85-CE44-41BE-AF09-297BDD7F01BA}"/>
</file>

<file path=customXml/itemProps3.xml><?xml version="1.0" encoding="utf-8"?>
<ds:datastoreItem xmlns:ds="http://schemas.openxmlformats.org/officeDocument/2006/customXml" ds:itemID="{122BC9E2-C961-4233-BF5A-6D10BEEFBD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Elhem Toukebri</dc:creator>
  <cp:keywords/>
  <dc:description/>
  <cp:lastModifiedBy>Rania Toukebri</cp:lastModifiedBy>
  <cp:revision/>
  <dcterms:created xsi:type="dcterms:W3CDTF">2026-04-02T10:24:02Z</dcterms:created>
  <dcterms:modified xsi:type="dcterms:W3CDTF">2026-04-17T22:19:32Z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0x010100B58229345C709344BB8D9E50298BEDA1</vt:lpwstr>
  </property>
  <property fmtid="{D5CDD505-2E9C-101B-9397-08002B2CF9AE}" pid="3" name="MediaServiceImageTags">
    <vt:lpwstr/>
  </property>
</Properties>
</file>